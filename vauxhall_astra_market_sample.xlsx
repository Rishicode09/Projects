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ings" sheetId="2" state="visible" r:id="rId2"/>
    <sheet name="Market Summary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1F3864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3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2" borderId="1" applyAlignment="1" pivotButton="0" quotePrefix="0" xfId="0">
      <alignment horizontal="center" wrapText="1"/>
    </xf>
    <xf numFmtId="165" fontId="7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164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Vauxhall Astra — Used Market Sample (100 cars)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100-row sample of the UK used Vauxhall Astra market, generated from a documented</t>
        </is>
      </c>
    </row>
    <row r="5">
      <c r="A5" s="2" t="inlineStr">
        <is>
          <t>price model calibrated against published depreciation figures. See the Calibration tab.</t>
        </is>
      </c>
    </row>
    <row r="6">
      <c r="A6" s="2" t="inlineStr"/>
    </row>
    <row r="7">
      <c r="A7" s="4" t="inlineStr">
        <is>
          <t>WHAT THIS IS NOT</t>
        </is>
      </c>
    </row>
    <row r="8">
      <c r="A8" s="5" t="inlineStr">
        <is>
          <t>These are NOT real listings. No row corresponds to a real car, a real advert, a real</t>
        </is>
      </c>
    </row>
    <row r="9">
      <c r="A9" s="5" t="inlineStr">
        <is>
          <t>seller, or a real transaction. Prices were computed, not observed. Do not quote any</t>
        </is>
      </c>
    </row>
    <row r="10">
      <c r="A10" s="5" t="inlineStr">
        <is>
          <t>figure here as evidence of what the market actually did.</t>
        </is>
      </c>
    </row>
    <row r="11">
      <c r="A11" s="2" t="inlineStr"/>
    </row>
    <row r="12">
      <c r="A12" s="3" t="inlineStr">
        <is>
          <t>WHY IT EXISTS</t>
        </is>
      </c>
    </row>
    <row r="13">
      <c r="A13" s="2" t="inlineStr">
        <is>
          <t>The depreciation model needs data where age and mileage vary independently. In the</t>
        </is>
      </c>
    </row>
    <row r="14">
      <c r="A14" s="2" t="inlineStr">
        <is>
          <t>original synthetic data, mileage was ~1.1 x age (correlation 0.999), so the model could</t>
        </is>
      </c>
    </row>
    <row r="15">
      <c r="A15" s="2" t="inlineStr">
        <is>
          <t>not separate the age effect from the mileage effect and the mileage coefficient pinned</t>
        </is>
      </c>
    </row>
    <row r="16">
      <c r="A16" s="2" t="inlineStr">
        <is>
          <t>to its bound in 85% of runs. Here, annual mileage is drawn independently between 3,500</t>
        </is>
      </c>
    </row>
    <row r="17">
      <c r="A17" s="2" t="inlineStr">
        <is>
          <t>and 21,000 miles, so the two effects are genuinely separable.</t>
        </is>
      </c>
    </row>
    <row r="18">
      <c r="A18" s="2" t="inlineStr"/>
    </row>
    <row r="19">
      <c r="A19" s="3" t="inlineStr">
        <is>
          <t>HOW TO USE IT</t>
        </is>
      </c>
    </row>
    <row r="20">
      <c r="A20" s="2" t="inlineStr">
        <is>
          <t>Fit on columns: age (from Registration Year), Mileage, and Asking Price. The generating</t>
        </is>
      </c>
    </row>
    <row r="21">
      <c r="A21" s="2" t="inlineStr">
        <is>
          <t>parameters are listed on the Calibration tab, so you can check whether your fitted</t>
        </is>
      </c>
    </row>
    <row r="22">
      <c r="A22" s="2" t="inlineStr">
        <is>
          <t>parameters recover them. That is the correct use of synthetic data: a test that your</t>
        </is>
      </c>
    </row>
    <row r="23">
      <c r="A23" s="2" t="inlineStr">
        <is>
          <t>estimator works, before you point it at real listings.</t>
        </is>
      </c>
    </row>
    <row r="24">
      <c r="A24" s="2" t="inlineStr"/>
    </row>
    <row r="25">
      <c r="A25" s="3" t="inlineStr">
        <is>
          <t>BEFORE SHOWING THIS TO AN EMPLOYER</t>
        </is>
      </c>
    </row>
    <row r="26">
      <c r="A26" s="2" t="inlineStr">
        <is>
          <t>Replace it with real data. Kaggle's '100,000 UK Used Car Data set' has real scraped</t>
        </is>
      </c>
    </row>
    <row r="27">
      <c r="A27" s="2" t="inlineStr">
        <is>
          <t>listings including a vauxhall.csv. Real data is the thing that makes the project count;</t>
        </is>
      </c>
    </row>
    <row r="28">
      <c r="A28" s="2" t="inlineStr">
        <is>
          <t>this file only proves the pipeline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4" customWidth="1" min="7" max="7"/>
    <col width="13" customWidth="1" min="8" max="8"/>
    <col width="10" customWidth="1" min="9" max="9"/>
    <col width="14" customWidth="1" min="10" max="10"/>
    <col width="11" customWidth="1" min="11" max="11"/>
    <col width="13" customWidth="1" min="12" max="12"/>
    <col width="18" customWidth="1" min="13" max="13"/>
    <col width="11" customWidth="1" min="14" max="14"/>
    <col width="15" customWidth="1" min="15" max="15"/>
    <col width="15" customWidth="1" min="16" max="16"/>
    <col width="14" customWidth="1" min="17" max="17"/>
    <col width="11" customWidth="1" min="18" max="18"/>
  </cols>
  <sheetData>
    <row r="1">
      <c r="A1" s="6" t="inlineStr">
        <is>
          <t>Listing ID</t>
        </is>
      </c>
      <c r="B1" s="6" t="inlineStr">
        <is>
          <t>Registration Year</t>
        </is>
      </c>
      <c r="C1" s="6" t="inlineStr">
        <is>
          <t>Age (years)</t>
        </is>
      </c>
      <c r="D1" s="6" t="inlineStr">
        <is>
          <t>Mileage</t>
        </is>
      </c>
      <c r="E1" s="6" t="inlineStr">
        <is>
          <t>Avg Annual Mileage</t>
        </is>
      </c>
      <c r="F1" s="6" t="inlineStr">
        <is>
          <t>Trim</t>
        </is>
      </c>
      <c r="G1" s="6" t="inlineStr">
        <is>
          <t>Fuel</t>
        </is>
      </c>
      <c r="H1" s="6" t="inlineStr">
        <is>
          <t>Transmission</t>
        </is>
      </c>
      <c r="I1" s="6" t="inlineStr">
        <is>
          <t>Engine (L)</t>
        </is>
      </c>
      <c r="J1" s="6" t="inlineStr">
        <is>
          <t>Body</t>
        </is>
      </c>
      <c r="K1" s="6" t="inlineStr">
        <is>
          <t>Former Keepers</t>
        </is>
      </c>
      <c r="L1" s="6" t="inlineStr">
        <is>
          <t>Service History</t>
        </is>
      </c>
      <c r="M1" s="6" t="inlineStr">
        <is>
          <t>Seller Type</t>
        </is>
      </c>
      <c r="N1" s="6" t="inlineStr">
        <is>
          <t>Condition</t>
        </is>
      </c>
      <c r="O1" s="6" t="inlineStr">
        <is>
          <t>Region</t>
        </is>
      </c>
      <c r="P1" s="6" t="inlineStr">
        <is>
          <t>Original List Price (GBP)</t>
        </is>
      </c>
      <c r="Q1" s="6" t="inlineStr">
        <is>
          <t>Asking Price (GBP)</t>
        </is>
      </c>
      <c r="R1" s="6" t="inlineStr">
        <is>
          <t>Retained % of List</t>
        </is>
      </c>
    </row>
    <row r="2">
      <c r="A2" s="7" t="inlineStr">
        <is>
          <t>AST-001</t>
        </is>
      </c>
      <c r="B2" s="8" t="n">
        <v>2026</v>
      </c>
      <c r="C2" s="8">
        <f>Calibration!$B$3-B2</f>
        <v/>
      </c>
      <c r="D2" s="9" t="n">
        <v>25</v>
      </c>
      <c r="E2" s="9">
        <f>IF(C2=0,"",ROUND(D2/C2,0))</f>
        <v/>
      </c>
      <c r="F2" s="7" t="inlineStr">
        <is>
          <t>Griffin</t>
        </is>
      </c>
      <c r="G2" s="7" t="inlineStr">
        <is>
          <t>Plug-in Hybrid</t>
        </is>
      </c>
      <c r="H2" s="7" t="inlineStr">
        <is>
          <t>Automatic</t>
        </is>
      </c>
      <c r="I2" s="7" t="inlineStr">
        <is>
          <t>1.6</t>
        </is>
      </c>
      <c r="J2" s="7" t="inlineStr">
        <is>
          <t>Hatchback</t>
        </is>
      </c>
      <c r="K2" s="8" t="n">
        <v>1</v>
      </c>
      <c r="L2" s="7" t="inlineStr">
        <is>
          <t>Full</t>
        </is>
      </c>
      <c r="M2" s="7" t="inlineStr">
        <is>
          <t>Independent dealer</t>
        </is>
      </c>
      <c r="N2" s="7" t="inlineStr">
        <is>
          <t>Good</t>
        </is>
      </c>
      <c r="O2" s="7" t="inlineStr">
        <is>
          <t>South West</t>
        </is>
      </c>
      <c r="P2" s="9" t="n">
        <v>29995</v>
      </c>
      <c r="Q2" s="9" t="n">
        <v>28375</v>
      </c>
      <c r="R2" s="10">
        <f>Q2/P2</f>
        <v/>
      </c>
    </row>
    <row r="3">
      <c r="A3" s="7" t="inlineStr">
        <is>
          <t>AST-002</t>
        </is>
      </c>
      <c r="B3" s="8" t="n">
        <v>2025</v>
      </c>
      <c r="C3" s="8">
        <f>Calibration!$B$3-B3</f>
        <v/>
      </c>
      <c r="D3" s="9" t="n">
        <v>19124</v>
      </c>
      <c r="E3" s="9">
        <f>IF(C3=0,"",ROUND(D3/C3,0))</f>
        <v/>
      </c>
      <c r="F3" s="7" t="inlineStr">
        <is>
          <t>Ultimate</t>
        </is>
      </c>
      <c r="G3" s="7" t="inlineStr">
        <is>
          <t>Petrol</t>
        </is>
      </c>
      <c r="H3" s="7" t="inlineStr">
        <is>
          <t>Automatic</t>
        </is>
      </c>
      <c r="I3" s="7" t="inlineStr">
        <is>
          <t>1.6</t>
        </is>
      </c>
      <c r="J3" s="7" t="inlineStr">
        <is>
          <t>Hatchback</t>
        </is>
      </c>
      <c r="K3" s="8" t="n">
        <v>1</v>
      </c>
      <c r="L3" s="7" t="inlineStr">
        <is>
          <t>Full</t>
        </is>
      </c>
      <c r="M3" s="7" t="inlineStr">
        <is>
          <t>Independent dealer</t>
        </is>
      </c>
      <c r="N3" s="7" t="inlineStr">
        <is>
          <t>Good</t>
        </is>
      </c>
      <c r="O3" s="7" t="inlineStr">
        <is>
          <t>London</t>
        </is>
      </c>
      <c r="P3" s="9" t="n">
        <v>29500</v>
      </c>
      <c r="Q3" s="9" t="n">
        <v>23760</v>
      </c>
      <c r="R3" s="10">
        <f>Q3/P3</f>
        <v/>
      </c>
    </row>
    <row r="4">
      <c r="A4" s="7" t="inlineStr">
        <is>
          <t>AST-003</t>
        </is>
      </c>
      <c r="B4" s="8" t="n">
        <v>2025</v>
      </c>
      <c r="C4" s="8">
        <f>Calibration!$B$3-B4</f>
        <v/>
      </c>
      <c r="D4" s="9" t="n">
        <v>4360</v>
      </c>
      <c r="E4" s="9">
        <f>IF(C4=0,"",ROUND(D4/C4,0))</f>
        <v/>
      </c>
      <c r="F4" s="7" t="inlineStr">
        <is>
          <t>Ultimate</t>
        </is>
      </c>
      <c r="G4" s="7" t="inlineStr">
        <is>
          <t>Petrol</t>
        </is>
      </c>
      <c r="H4" s="7" t="inlineStr">
        <is>
          <t>Manual</t>
        </is>
      </c>
      <c r="I4" s="7" t="inlineStr">
        <is>
          <t>1.5</t>
        </is>
      </c>
      <c r="J4" s="7" t="inlineStr">
        <is>
          <t>Hatchback</t>
        </is>
      </c>
      <c r="K4" s="8" t="n">
        <v>1</v>
      </c>
      <c r="L4" s="7" t="inlineStr">
        <is>
          <t>Full</t>
        </is>
      </c>
      <c r="M4" s="7" t="inlineStr">
        <is>
          <t>Private</t>
        </is>
      </c>
      <c r="N4" s="7" t="inlineStr">
        <is>
          <t>Good</t>
        </is>
      </c>
      <c r="O4" s="7" t="inlineStr">
        <is>
          <t>South East</t>
        </is>
      </c>
      <c r="P4" s="9" t="n">
        <v>29500</v>
      </c>
      <c r="Q4" s="9" t="n">
        <v>21600</v>
      </c>
      <c r="R4" s="10">
        <f>Q4/P4</f>
        <v/>
      </c>
    </row>
    <row r="5">
      <c r="A5" s="7" t="inlineStr">
        <is>
          <t>AST-004</t>
        </is>
      </c>
      <c r="B5" s="8" t="n">
        <v>2025</v>
      </c>
      <c r="C5" s="8">
        <f>Calibration!$B$3-B5</f>
        <v/>
      </c>
      <c r="D5" s="9" t="n">
        <v>17137</v>
      </c>
      <c r="E5" s="9">
        <f>IF(C5=0,"",ROUND(D5/C5,0))</f>
        <v/>
      </c>
      <c r="F5" s="7" t="inlineStr">
        <is>
          <t>Ultimate</t>
        </is>
      </c>
      <c r="G5" s="7" t="inlineStr">
        <is>
          <t>Plug-in Hybrid</t>
        </is>
      </c>
      <c r="H5" s="7" t="inlineStr">
        <is>
          <t>Automatic</t>
        </is>
      </c>
      <c r="I5" s="7" t="inlineStr">
        <is>
          <t>1.6</t>
        </is>
      </c>
      <c r="J5" s="7" t="inlineStr">
        <is>
          <t>Hatchback</t>
        </is>
      </c>
      <c r="K5" s="8" t="n">
        <v>1</v>
      </c>
      <c r="L5" s="7" t="inlineStr">
        <is>
          <t>Full</t>
        </is>
      </c>
      <c r="M5" s="7" t="inlineStr">
        <is>
          <t>Independent dealer</t>
        </is>
      </c>
      <c r="N5" s="7" t="inlineStr">
        <is>
          <t>Good</t>
        </is>
      </c>
      <c r="O5" s="7" t="inlineStr">
        <is>
          <t>Wales</t>
        </is>
      </c>
      <c r="P5" s="9" t="n">
        <v>29500</v>
      </c>
      <c r="Q5" s="9" t="n">
        <v>25435</v>
      </c>
      <c r="R5" s="10">
        <f>Q5/P5</f>
        <v/>
      </c>
    </row>
    <row r="6">
      <c r="A6" s="7" t="inlineStr">
        <is>
          <t>AST-005</t>
        </is>
      </c>
      <c r="B6" s="8" t="n">
        <v>2025</v>
      </c>
      <c r="C6" s="8">
        <f>Calibration!$B$3-B6</f>
        <v/>
      </c>
      <c r="D6" s="9" t="n">
        <v>6255</v>
      </c>
      <c r="E6" s="9">
        <f>IF(C6=0,"",ROUND(D6/C6,0))</f>
        <v/>
      </c>
      <c r="F6" s="7" t="inlineStr">
        <is>
          <t>GS</t>
        </is>
      </c>
      <c r="G6" s="7" t="inlineStr">
        <is>
          <t>Electric</t>
        </is>
      </c>
      <c r="H6" s="7" t="inlineStr">
        <is>
          <t>Automatic</t>
        </is>
      </c>
      <c r="I6" s="7" t="inlineStr">
        <is>
          <t>-</t>
        </is>
      </c>
      <c r="J6" s="7" t="inlineStr">
        <is>
          <t>Hatchback</t>
        </is>
      </c>
      <c r="K6" s="8" t="n">
        <v>1</v>
      </c>
      <c r="L6" s="7" t="inlineStr">
        <is>
          <t>Full</t>
        </is>
      </c>
      <c r="M6" s="7" t="inlineStr">
        <is>
          <t>Franchise dealer</t>
        </is>
      </c>
      <c r="N6" s="7" t="inlineStr">
        <is>
          <t>Good</t>
        </is>
      </c>
      <c r="O6" s="7" t="inlineStr">
        <is>
          <t>Wales</t>
        </is>
      </c>
      <c r="P6" s="9" t="n">
        <v>29500</v>
      </c>
      <c r="Q6" s="9" t="n">
        <v>23970</v>
      </c>
      <c r="R6" s="10">
        <f>Q6/P6</f>
        <v/>
      </c>
    </row>
    <row r="7">
      <c r="A7" s="7" t="inlineStr">
        <is>
          <t>AST-006</t>
        </is>
      </c>
      <c r="B7" s="8" t="n">
        <v>2025</v>
      </c>
      <c r="C7" s="8">
        <f>Calibration!$B$3-B7</f>
        <v/>
      </c>
      <c r="D7" s="9" t="n">
        <v>8421</v>
      </c>
      <c r="E7" s="9">
        <f>IF(C7=0,"",ROUND(D7/C7,0))</f>
        <v/>
      </c>
      <c r="F7" s="7" t="inlineStr">
        <is>
          <t>GS</t>
        </is>
      </c>
      <c r="G7" s="7" t="inlineStr">
        <is>
          <t>Hybrid</t>
        </is>
      </c>
      <c r="H7" s="7" t="inlineStr">
        <is>
          <t>Automatic</t>
        </is>
      </c>
      <c r="I7" s="7" t="inlineStr">
        <is>
          <t>1.2</t>
        </is>
      </c>
      <c r="J7" s="7" t="inlineStr">
        <is>
          <t>Hatchback</t>
        </is>
      </c>
      <c r="K7" s="8" t="n">
        <v>1</v>
      </c>
      <c r="L7" s="7" t="inlineStr">
        <is>
          <t>Full</t>
        </is>
      </c>
      <c r="M7" s="7" t="inlineStr">
        <is>
          <t>Franchise dealer</t>
        </is>
      </c>
      <c r="N7" s="7" t="inlineStr">
        <is>
          <t>Good</t>
        </is>
      </c>
      <c r="O7" s="7" t="inlineStr">
        <is>
          <t>Scotland</t>
        </is>
      </c>
      <c r="P7" s="9" t="n">
        <v>29500</v>
      </c>
      <c r="Q7" s="9" t="n">
        <v>28945</v>
      </c>
      <c r="R7" s="10">
        <f>Q7/P7</f>
        <v/>
      </c>
    </row>
    <row r="8">
      <c r="A8" s="7" t="inlineStr">
        <is>
          <t>AST-007</t>
        </is>
      </c>
      <c r="B8" s="8" t="n">
        <v>2025</v>
      </c>
      <c r="C8" s="8">
        <f>Calibration!$B$3-B8</f>
        <v/>
      </c>
      <c r="D8" s="9" t="n">
        <v>4340</v>
      </c>
      <c r="E8" s="9">
        <f>IF(C8=0,"",ROUND(D8/C8,0))</f>
        <v/>
      </c>
      <c r="F8" s="7" t="inlineStr">
        <is>
          <t>GS</t>
        </is>
      </c>
      <c r="G8" s="7" t="inlineStr">
        <is>
          <t>Petrol</t>
        </is>
      </c>
      <c r="H8" s="7" t="inlineStr">
        <is>
          <t>Manual</t>
        </is>
      </c>
      <c r="I8" s="7" t="inlineStr">
        <is>
          <t>1.5</t>
        </is>
      </c>
      <c r="J8" s="7" t="inlineStr">
        <is>
          <t>Hatchback</t>
        </is>
      </c>
      <c r="K8" s="8" t="n">
        <v>1</v>
      </c>
      <c r="L8" s="7" t="inlineStr">
        <is>
          <t>Full</t>
        </is>
      </c>
      <c r="M8" s="7" t="inlineStr">
        <is>
          <t>Franchise dealer</t>
        </is>
      </c>
      <c r="N8" s="7" t="inlineStr">
        <is>
          <t>Good</t>
        </is>
      </c>
      <c r="O8" s="7" t="inlineStr">
        <is>
          <t>West Midlands</t>
        </is>
      </c>
      <c r="P8" s="9" t="n">
        <v>29500</v>
      </c>
      <c r="Q8" s="9" t="n">
        <v>25425</v>
      </c>
      <c r="R8" s="10">
        <f>Q8/P8</f>
        <v/>
      </c>
    </row>
    <row r="9">
      <c r="A9" s="7" t="inlineStr">
        <is>
          <t>AST-008</t>
        </is>
      </c>
      <c r="B9" s="8" t="n">
        <v>2025</v>
      </c>
      <c r="C9" s="8">
        <f>Calibration!$B$3-B9</f>
        <v/>
      </c>
      <c r="D9" s="9" t="n">
        <v>4451</v>
      </c>
      <c r="E9" s="9">
        <f>IF(C9=0,"",ROUND(D9/C9,0))</f>
        <v/>
      </c>
      <c r="F9" s="7" t="inlineStr">
        <is>
          <t>Design</t>
        </is>
      </c>
      <c r="G9" s="7" t="inlineStr">
        <is>
          <t>Electric</t>
        </is>
      </c>
      <c r="H9" s="7" t="inlineStr">
        <is>
          <t>Automatic</t>
        </is>
      </c>
      <c r="I9" s="7" t="inlineStr">
        <is>
          <t>-</t>
        </is>
      </c>
      <c r="J9" s="7" t="inlineStr">
        <is>
          <t>Sports Tourer</t>
        </is>
      </c>
      <c r="K9" s="8" t="n">
        <v>1</v>
      </c>
      <c r="L9" s="7" t="inlineStr">
        <is>
          <t>Full</t>
        </is>
      </c>
      <c r="M9" s="7" t="inlineStr">
        <is>
          <t>Franchise dealer</t>
        </is>
      </c>
      <c r="N9" s="7" t="inlineStr">
        <is>
          <t>Excellent</t>
        </is>
      </c>
      <c r="O9" s="7" t="inlineStr">
        <is>
          <t>West Midlands</t>
        </is>
      </c>
      <c r="P9" s="9" t="n">
        <v>29500</v>
      </c>
      <c r="Q9" s="9" t="n">
        <v>22455</v>
      </c>
      <c r="R9" s="10">
        <f>Q9/P9</f>
        <v/>
      </c>
    </row>
    <row r="10">
      <c r="A10" s="7" t="inlineStr">
        <is>
          <t>AST-009</t>
        </is>
      </c>
      <c r="B10" s="8" t="n">
        <v>2025</v>
      </c>
      <c r="C10" s="8">
        <f>Calibration!$B$3-B10</f>
        <v/>
      </c>
      <c r="D10" s="9" t="n">
        <v>13016</v>
      </c>
      <c r="E10" s="9">
        <f>IF(C10=0,"",ROUND(D10/C10,0))</f>
        <v/>
      </c>
      <c r="F10" s="7" t="inlineStr">
        <is>
          <t>GS</t>
        </is>
      </c>
      <c r="G10" s="7" t="inlineStr">
        <is>
          <t>Hybrid</t>
        </is>
      </c>
      <c r="H10" s="7" t="inlineStr">
        <is>
          <t>Automatic</t>
        </is>
      </c>
      <c r="I10" s="7" t="inlineStr">
        <is>
          <t>1.2</t>
        </is>
      </c>
      <c r="J10" s="7" t="inlineStr">
        <is>
          <t>Sports Tourer</t>
        </is>
      </c>
      <c r="K10" s="8" t="n">
        <v>1</v>
      </c>
      <c r="L10" s="7" t="inlineStr">
        <is>
          <t>Full</t>
        </is>
      </c>
      <c r="M10" s="7" t="inlineStr">
        <is>
          <t>Independent dealer</t>
        </is>
      </c>
      <c r="N10" s="7" t="inlineStr">
        <is>
          <t>Good</t>
        </is>
      </c>
      <c r="O10" s="7" t="inlineStr">
        <is>
          <t>London</t>
        </is>
      </c>
      <c r="P10" s="9" t="n">
        <v>29500</v>
      </c>
      <c r="Q10" s="9" t="n">
        <v>27160</v>
      </c>
      <c r="R10" s="10">
        <f>Q10/P10</f>
        <v/>
      </c>
    </row>
    <row r="11">
      <c r="A11" s="7" t="inlineStr">
        <is>
          <t>AST-010</t>
        </is>
      </c>
      <c r="B11" s="8" t="n">
        <v>2025</v>
      </c>
      <c r="C11" s="8">
        <f>Calibration!$B$3-B11</f>
        <v/>
      </c>
      <c r="D11" s="9" t="n">
        <v>17448</v>
      </c>
      <c r="E11" s="9">
        <f>IF(C11=0,"",ROUND(D11/C11,0))</f>
        <v/>
      </c>
      <c r="F11" s="7" t="inlineStr">
        <is>
          <t>GS Line</t>
        </is>
      </c>
      <c r="G11" s="7" t="inlineStr">
        <is>
          <t>Petrol</t>
        </is>
      </c>
      <c r="H11" s="7" t="inlineStr">
        <is>
          <t>Manual</t>
        </is>
      </c>
      <c r="I11" s="7" t="inlineStr">
        <is>
          <t>1.5</t>
        </is>
      </c>
      <c r="J11" s="7" t="inlineStr">
        <is>
          <t>Hatchback</t>
        </is>
      </c>
      <c r="K11" s="8" t="n">
        <v>1</v>
      </c>
      <c r="L11" s="7" t="inlineStr">
        <is>
          <t>Full</t>
        </is>
      </c>
      <c r="M11" s="7" t="inlineStr">
        <is>
          <t>Private</t>
        </is>
      </c>
      <c r="N11" s="7" t="inlineStr">
        <is>
          <t>Good</t>
        </is>
      </c>
      <c r="O11" s="7" t="inlineStr">
        <is>
          <t>East of England</t>
        </is>
      </c>
      <c r="P11" s="9" t="n">
        <v>29500</v>
      </c>
      <c r="Q11" s="9" t="n">
        <v>20140</v>
      </c>
      <c r="R11" s="10">
        <f>Q11/P11</f>
        <v/>
      </c>
    </row>
    <row r="12">
      <c r="A12" s="7" t="inlineStr">
        <is>
          <t>AST-011</t>
        </is>
      </c>
      <c r="B12" s="8" t="n">
        <v>2025</v>
      </c>
      <c r="C12" s="8">
        <f>Calibration!$B$3-B12</f>
        <v/>
      </c>
      <c r="D12" s="9" t="n">
        <v>9625</v>
      </c>
      <c r="E12" s="9">
        <f>IF(C12=0,"",ROUND(D12/C12,0))</f>
        <v/>
      </c>
      <c r="F12" s="7" t="inlineStr">
        <is>
          <t>Ultimate</t>
        </is>
      </c>
      <c r="G12" s="7" t="inlineStr">
        <is>
          <t>Plug-in Hybrid</t>
        </is>
      </c>
      <c r="H12" s="7" t="inlineStr">
        <is>
          <t>Automatic</t>
        </is>
      </c>
      <c r="I12" s="7" t="inlineStr">
        <is>
          <t>1.6</t>
        </is>
      </c>
      <c r="J12" s="7" t="inlineStr">
        <is>
          <t>Hatchback</t>
        </is>
      </c>
      <c r="K12" s="8" t="n">
        <v>1</v>
      </c>
      <c r="L12" s="7" t="inlineStr">
        <is>
          <t>Full</t>
        </is>
      </c>
      <c r="M12" s="7" t="inlineStr">
        <is>
          <t>Private</t>
        </is>
      </c>
      <c r="N12" s="7" t="inlineStr">
        <is>
          <t>Good</t>
        </is>
      </c>
      <c r="O12" s="7" t="inlineStr">
        <is>
          <t>North East</t>
        </is>
      </c>
      <c r="P12" s="9" t="n">
        <v>29500</v>
      </c>
      <c r="Q12" s="9" t="n">
        <v>23990</v>
      </c>
      <c r="R12" s="10">
        <f>Q12/P12</f>
        <v/>
      </c>
    </row>
    <row r="13">
      <c r="A13" s="7" t="inlineStr">
        <is>
          <t>AST-012</t>
        </is>
      </c>
      <c r="B13" s="8" t="n">
        <v>2024</v>
      </c>
      <c r="C13" s="8">
        <f>Calibration!$B$3-B13</f>
        <v/>
      </c>
      <c r="D13" s="9" t="n">
        <v>31312</v>
      </c>
      <c r="E13" s="9">
        <f>IF(C13=0,"",ROUND(D13/C13,0))</f>
        <v/>
      </c>
      <c r="F13" s="7" t="inlineStr">
        <is>
          <t>Design</t>
        </is>
      </c>
      <c r="G13" s="7" t="inlineStr">
        <is>
          <t>Hybrid</t>
        </is>
      </c>
      <c r="H13" s="7" t="inlineStr">
        <is>
          <t>Automatic</t>
        </is>
      </c>
      <c r="I13" s="7" t="inlineStr">
        <is>
          <t>1.2</t>
        </is>
      </c>
      <c r="J13" s="7" t="inlineStr">
        <is>
          <t>Hatchback</t>
        </is>
      </c>
      <c r="K13" s="8" t="n">
        <v>1</v>
      </c>
      <c r="L13" s="7" t="inlineStr">
        <is>
          <t>Full</t>
        </is>
      </c>
      <c r="M13" s="7" t="inlineStr">
        <is>
          <t>Franchise dealer</t>
        </is>
      </c>
      <c r="N13" s="7" t="inlineStr">
        <is>
          <t>Good</t>
        </is>
      </c>
      <c r="O13" s="7" t="inlineStr">
        <is>
          <t>Wales</t>
        </is>
      </c>
      <c r="P13" s="9" t="n">
        <v>28500</v>
      </c>
      <c r="Q13" s="9" t="n">
        <v>18910</v>
      </c>
      <c r="R13" s="10">
        <f>Q13/P13</f>
        <v/>
      </c>
    </row>
    <row r="14">
      <c r="A14" s="7" t="inlineStr">
        <is>
          <t>AST-013</t>
        </is>
      </c>
      <c r="B14" s="8" t="n">
        <v>2024</v>
      </c>
      <c r="C14" s="8">
        <f>Calibration!$B$3-B14</f>
        <v/>
      </c>
      <c r="D14" s="9" t="n">
        <v>30654</v>
      </c>
      <c r="E14" s="9">
        <f>IF(C14=0,"",ROUND(D14/C14,0))</f>
        <v/>
      </c>
      <c r="F14" s="7" t="inlineStr">
        <is>
          <t>Griffin</t>
        </is>
      </c>
      <c r="G14" s="7" t="inlineStr">
        <is>
          <t>Petrol</t>
        </is>
      </c>
      <c r="H14" s="7" t="inlineStr">
        <is>
          <t>Manual</t>
        </is>
      </c>
      <c r="I14" s="7" t="inlineStr">
        <is>
          <t>1.4</t>
        </is>
      </c>
      <c r="J14" s="7" t="inlineStr">
        <is>
          <t>Hatchback</t>
        </is>
      </c>
      <c r="K14" s="8" t="n">
        <v>1</v>
      </c>
      <c r="L14" s="7" t="inlineStr">
        <is>
          <t>Full</t>
        </is>
      </c>
      <c r="M14" s="7" t="inlineStr">
        <is>
          <t>Independent dealer</t>
        </is>
      </c>
      <c r="N14" s="7" t="inlineStr">
        <is>
          <t>Good</t>
        </is>
      </c>
      <c r="O14" s="7" t="inlineStr">
        <is>
          <t>North West</t>
        </is>
      </c>
      <c r="P14" s="9" t="n">
        <v>28500</v>
      </c>
      <c r="Q14" s="9" t="n">
        <v>16120</v>
      </c>
      <c r="R14" s="10">
        <f>Q14/P14</f>
        <v/>
      </c>
    </row>
    <row r="15">
      <c r="A15" s="7" t="inlineStr">
        <is>
          <t>AST-014</t>
        </is>
      </c>
      <c r="B15" s="8" t="n">
        <v>2024</v>
      </c>
      <c r="C15" s="8">
        <f>Calibration!$B$3-B15</f>
        <v/>
      </c>
      <c r="D15" s="9" t="n">
        <v>13367</v>
      </c>
      <c r="E15" s="9">
        <f>IF(C15=0,"",ROUND(D15/C15,0))</f>
        <v/>
      </c>
      <c r="F15" s="7" t="inlineStr">
        <is>
          <t>GS</t>
        </is>
      </c>
      <c r="G15" s="7" t="inlineStr">
        <is>
          <t>Electric</t>
        </is>
      </c>
      <c r="H15" s="7" t="inlineStr">
        <is>
          <t>Automatic</t>
        </is>
      </c>
      <c r="I15" s="7" t="inlineStr">
        <is>
          <t>-</t>
        </is>
      </c>
      <c r="J15" s="7" t="inlineStr">
        <is>
          <t>Hatchback</t>
        </is>
      </c>
      <c r="K15" s="8" t="n">
        <v>1</v>
      </c>
      <c r="L15" s="7" t="inlineStr">
        <is>
          <t>Full</t>
        </is>
      </c>
      <c r="M15" s="7" t="inlineStr">
        <is>
          <t>Independent dealer</t>
        </is>
      </c>
      <c r="N15" s="7" t="inlineStr">
        <is>
          <t>Fair</t>
        </is>
      </c>
      <c r="O15" s="7" t="inlineStr">
        <is>
          <t>Yorkshire</t>
        </is>
      </c>
      <c r="P15" s="9" t="n">
        <v>28500</v>
      </c>
      <c r="Q15" s="9" t="n">
        <v>16005</v>
      </c>
      <c r="R15" s="10">
        <f>Q15/P15</f>
        <v/>
      </c>
    </row>
    <row r="16">
      <c r="A16" s="7" t="inlineStr">
        <is>
          <t>AST-015</t>
        </is>
      </c>
      <c r="B16" s="8" t="n">
        <v>2024</v>
      </c>
      <c r="C16" s="8">
        <f>Calibration!$B$3-B16</f>
        <v/>
      </c>
      <c r="D16" s="9" t="n">
        <v>30516</v>
      </c>
      <c r="E16" s="9">
        <f>IF(C16=0,"",ROUND(D16/C16,0))</f>
        <v/>
      </c>
      <c r="F16" s="7" t="inlineStr">
        <is>
          <t>Griffin</t>
        </is>
      </c>
      <c r="G16" s="7" t="inlineStr">
        <is>
          <t>Petrol</t>
        </is>
      </c>
      <c r="H16" s="7" t="inlineStr">
        <is>
          <t>Manual</t>
        </is>
      </c>
      <c r="I16" s="7" t="inlineStr">
        <is>
          <t>1.2</t>
        </is>
      </c>
      <c r="J16" s="7" t="inlineStr">
        <is>
          <t>Sports Tourer</t>
        </is>
      </c>
      <c r="K16" s="8" t="n">
        <v>1</v>
      </c>
      <c r="L16" s="7" t="inlineStr">
        <is>
          <t>Full</t>
        </is>
      </c>
      <c r="M16" s="7" t="inlineStr">
        <is>
          <t>Private</t>
        </is>
      </c>
      <c r="N16" s="7" t="inlineStr">
        <is>
          <t>Good</t>
        </is>
      </c>
      <c r="O16" s="7" t="inlineStr">
        <is>
          <t>South West</t>
        </is>
      </c>
      <c r="P16" s="9" t="n">
        <v>28500</v>
      </c>
      <c r="Q16" s="9" t="n">
        <v>16485</v>
      </c>
      <c r="R16" s="10">
        <f>Q16/P16</f>
        <v/>
      </c>
    </row>
    <row r="17">
      <c r="A17" s="7" t="inlineStr">
        <is>
          <t>AST-016</t>
        </is>
      </c>
      <c r="B17" s="8" t="n">
        <v>2024</v>
      </c>
      <c r="C17" s="8">
        <f>Calibration!$B$3-B17</f>
        <v/>
      </c>
      <c r="D17" s="9" t="n">
        <v>30784</v>
      </c>
      <c r="E17" s="9">
        <f>IF(C17=0,"",ROUND(D17/C17,0))</f>
        <v/>
      </c>
      <c r="F17" s="7" t="inlineStr">
        <is>
          <t>Ultimate</t>
        </is>
      </c>
      <c r="G17" s="7" t="inlineStr">
        <is>
          <t>Hybrid</t>
        </is>
      </c>
      <c r="H17" s="7" t="inlineStr">
        <is>
          <t>Automatic</t>
        </is>
      </c>
      <c r="I17" s="7" t="inlineStr">
        <is>
          <t>1.2</t>
        </is>
      </c>
      <c r="J17" s="7" t="inlineStr">
        <is>
          <t>Hatchback</t>
        </is>
      </c>
      <c r="K17" s="8" t="n">
        <v>2</v>
      </c>
      <c r="L17" s="7" t="inlineStr">
        <is>
          <t>Full</t>
        </is>
      </c>
      <c r="M17" s="7" t="inlineStr">
        <is>
          <t>Franchise dealer</t>
        </is>
      </c>
      <c r="N17" s="7" t="inlineStr">
        <is>
          <t>Excellent</t>
        </is>
      </c>
      <c r="O17" s="7" t="inlineStr">
        <is>
          <t>West Midlands</t>
        </is>
      </c>
      <c r="P17" s="9" t="n">
        <v>28500</v>
      </c>
      <c r="Q17" s="9" t="n">
        <v>22600</v>
      </c>
      <c r="R17" s="10">
        <f>Q17/P17</f>
        <v/>
      </c>
    </row>
    <row r="18">
      <c r="A18" s="7" t="inlineStr">
        <is>
          <t>AST-017</t>
        </is>
      </c>
      <c r="B18" s="8" t="n">
        <v>2024</v>
      </c>
      <c r="C18" s="8">
        <f>Calibration!$B$3-B18</f>
        <v/>
      </c>
      <c r="D18" s="9" t="n">
        <v>25250</v>
      </c>
      <c r="E18" s="9">
        <f>IF(C18=0,"",ROUND(D18/C18,0))</f>
        <v/>
      </c>
      <c r="F18" s="7" t="inlineStr">
        <is>
          <t>Ultimate</t>
        </is>
      </c>
      <c r="G18" s="7" t="inlineStr">
        <is>
          <t>Petrol</t>
        </is>
      </c>
      <c r="H18" s="7" t="inlineStr">
        <is>
          <t>Manual</t>
        </is>
      </c>
      <c r="I18" s="7" t="inlineStr">
        <is>
          <t>1.2</t>
        </is>
      </c>
      <c r="J18" s="7" t="inlineStr">
        <is>
          <t>Hatchback</t>
        </is>
      </c>
      <c r="K18" s="8" t="n">
        <v>2</v>
      </c>
      <c r="L18" s="7" t="inlineStr">
        <is>
          <t>Full</t>
        </is>
      </c>
      <c r="M18" s="7" t="inlineStr">
        <is>
          <t>Franchise dealer</t>
        </is>
      </c>
      <c r="N18" s="7" t="inlineStr">
        <is>
          <t>Good</t>
        </is>
      </c>
      <c r="O18" s="7" t="inlineStr">
        <is>
          <t>Wales</t>
        </is>
      </c>
      <c r="P18" s="9" t="n">
        <v>28500</v>
      </c>
      <c r="Q18" s="9" t="n">
        <v>22175</v>
      </c>
      <c r="R18" s="10">
        <f>Q18/P18</f>
        <v/>
      </c>
    </row>
    <row r="19">
      <c r="A19" s="7" t="inlineStr">
        <is>
          <t>AST-018</t>
        </is>
      </c>
      <c r="B19" s="8" t="n">
        <v>2024</v>
      </c>
      <c r="C19" s="8">
        <f>Calibration!$B$3-B19</f>
        <v/>
      </c>
      <c r="D19" s="9" t="n">
        <v>12801</v>
      </c>
      <c r="E19" s="9">
        <f>IF(C19=0,"",ROUND(D19/C19,0))</f>
        <v/>
      </c>
      <c r="F19" s="7" t="inlineStr">
        <is>
          <t>Griffin</t>
        </is>
      </c>
      <c r="G19" s="7" t="inlineStr">
        <is>
          <t>Electric</t>
        </is>
      </c>
      <c r="H19" s="7" t="inlineStr">
        <is>
          <t>Automatic</t>
        </is>
      </c>
      <c r="I19" s="7" t="inlineStr">
        <is>
          <t>-</t>
        </is>
      </c>
      <c r="J19" s="7" t="inlineStr">
        <is>
          <t>Hatchback</t>
        </is>
      </c>
      <c r="K19" s="8" t="n">
        <v>2</v>
      </c>
      <c r="L19" s="7" t="inlineStr">
        <is>
          <t>Full</t>
        </is>
      </c>
      <c r="M19" s="7" t="inlineStr">
        <is>
          <t>Independent dealer</t>
        </is>
      </c>
      <c r="N19" s="7" t="inlineStr">
        <is>
          <t>Excellent</t>
        </is>
      </c>
      <c r="O19" s="7" t="inlineStr">
        <is>
          <t>South East</t>
        </is>
      </c>
      <c r="P19" s="9" t="n">
        <v>28500</v>
      </c>
      <c r="Q19" s="9" t="n">
        <v>17520</v>
      </c>
      <c r="R19" s="10">
        <f>Q19/P19</f>
        <v/>
      </c>
    </row>
    <row r="20">
      <c r="A20" s="7" t="inlineStr">
        <is>
          <t>AST-019</t>
        </is>
      </c>
      <c r="B20" s="8" t="n">
        <v>2024</v>
      </c>
      <c r="C20" s="8">
        <f>Calibration!$B$3-B20</f>
        <v/>
      </c>
      <c r="D20" s="9" t="n">
        <v>16666</v>
      </c>
      <c r="E20" s="9">
        <f>IF(C20=0,"",ROUND(D20/C20,0))</f>
        <v/>
      </c>
      <c r="F20" s="7" t="inlineStr">
        <is>
          <t>GS Line</t>
        </is>
      </c>
      <c r="G20" s="7" t="inlineStr">
        <is>
          <t>Plug-in Hybrid</t>
        </is>
      </c>
      <c r="H20" s="7" t="inlineStr">
        <is>
          <t>Automatic</t>
        </is>
      </c>
      <c r="I20" s="7" t="inlineStr">
        <is>
          <t>1.6</t>
        </is>
      </c>
      <c r="J20" s="7" t="inlineStr">
        <is>
          <t>Sports Tourer</t>
        </is>
      </c>
      <c r="K20" s="8" t="n">
        <v>2</v>
      </c>
      <c r="L20" s="7" t="inlineStr">
        <is>
          <t>Full</t>
        </is>
      </c>
      <c r="M20" s="7" t="inlineStr">
        <is>
          <t>Franchise dealer</t>
        </is>
      </c>
      <c r="N20" s="7" t="inlineStr">
        <is>
          <t>Excellent</t>
        </is>
      </c>
      <c r="O20" s="7" t="inlineStr">
        <is>
          <t>South West</t>
        </is>
      </c>
      <c r="P20" s="9" t="n">
        <v>28500</v>
      </c>
      <c r="Q20" s="9" t="n">
        <v>21365</v>
      </c>
      <c r="R20" s="10">
        <f>Q20/P20</f>
        <v/>
      </c>
    </row>
    <row r="21">
      <c r="A21" s="7" t="inlineStr">
        <is>
          <t>AST-020</t>
        </is>
      </c>
      <c r="B21" s="8" t="n">
        <v>2024</v>
      </c>
      <c r="C21" s="8">
        <f>Calibration!$B$3-B21</f>
        <v/>
      </c>
      <c r="D21" s="9" t="n">
        <v>29182</v>
      </c>
      <c r="E21" s="9">
        <f>IF(C21=0,"",ROUND(D21/C21,0))</f>
        <v/>
      </c>
      <c r="F21" s="7" t="inlineStr">
        <is>
          <t>Ultimate</t>
        </is>
      </c>
      <c r="G21" s="7" t="inlineStr">
        <is>
          <t>Hybrid</t>
        </is>
      </c>
      <c r="H21" s="7" t="inlineStr">
        <is>
          <t>Automatic</t>
        </is>
      </c>
      <c r="I21" s="7" t="inlineStr">
        <is>
          <t>1.2</t>
        </is>
      </c>
      <c r="J21" s="7" t="inlineStr">
        <is>
          <t>Hatchback</t>
        </is>
      </c>
      <c r="K21" s="8" t="n">
        <v>1</v>
      </c>
      <c r="L21" s="7" t="inlineStr">
        <is>
          <t>Full</t>
        </is>
      </c>
      <c r="M21" s="7" t="inlineStr">
        <is>
          <t>Franchise dealer</t>
        </is>
      </c>
      <c r="N21" s="7" t="inlineStr">
        <is>
          <t>Fair</t>
        </is>
      </c>
      <c r="O21" s="7" t="inlineStr">
        <is>
          <t>South East</t>
        </is>
      </c>
      <c r="P21" s="9" t="n">
        <v>28500</v>
      </c>
      <c r="Q21" s="9" t="n">
        <v>20065</v>
      </c>
      <c r="R21" s="10">
        <f>Q21/P21</f>
        <v/>
      </c>
    </row>
    <row r="22">
      <c r="A22" s="7" t="inlineStr">
        <is>
          <t>AST-021</t>
        </is>
      </c>
      <c r="B22" s="8" t="n">
        <v>2024</v>
      </c>
      <c r="C22" s="8">
        <f>Calibration!$B$3-B22</f>
        <v/>
      </c>
      <c r="D22" s="9" t="n">
        <v>38022</v>
      </c>
      <c r="E22" s="9">
        <f>IF(C22=0,"",ROUND(D22/C22,0))</f>
        <v/>
      </c>
      <c r="F22" s="7" t="inlineStr">
        <is>
          <t>Design</t>
        </is>
      </c>
      <c r="G22" s="7" t="inlineStr">
        <is>
          <t>Plug-in Hybrid</t>
        </is>
      </c>
      <c r="H22" s="7" t="inlineStr">
        <is>
          <t>Automatic</t>
        </is>
      </c>
      <c r="I22" s="7" t="inlineStr">
        <is>
          <t>1.6</t>
        </is>
      </c>
      <c r="J22" s="7" t="inlineStr">
        <is>
          <t>Sports Tourer</t>
        </is>
      </c>
      <c r="K22" s="8" t="n">
        <v>1</v>
      </c>
      <c r="L22" s="7" t="inlineStr">
        <is>
          <t>Full</t>
        </is>
      </c>
      <c r="M22" s="7" t="inlineStr">
        <is>
          <t>Independent dealer</t>
        </is>
      </c>
      <c r="N22" s="7" t="inlineStr">
        <is>
          <t>Good</t>
        </is>
      </c>
      <c r="O22" s="7" t="inlineStr">
        <is>
          <t>South West</t>
        </is>
      </c>
      <c r="P22" s="9" t="n">
        <v>28500</v>
      </c>
      <c r="Q22" s="9" t="n">
        <v>16050</v>
      </c>
      <c r="R22" s="10">
        <f>Q22/P22</f>
        <v/>
      </c>
    </row>
    <row r="23">
      <c r="A23" s="7" t="inlineStr">
        <is>
          <t>AST-022</t>
        </is>
      </c>
      <c r="B23" s="8" t="n">
        <v>2024</v>
      </c>
      <c r="C23" s="8">
        <f>Calibration!$B$3-B23</f>
        <v/>
      </c>
      <c r="D23" s="9" t="n">
        <v>11933</v>
      </c>
      <c r="E23" s="9">
        <f>IF(C23=0,"",ROUND(D23/C23,0))</f>
        <v/>
      </c>
      <c r="F23" s="7" t="inlineStr">
        <is>
          <t>Design</t>
        </is>
      </c>
      <c r="G23" s="7" t="inlineStr">
        <is>
          <t>Hybrid</t>
        </is>
      </c>
      <c r="H23" s="7" t="inlineStr">
        <is>
          <t>Automatic</t>
        </is>
      </c>
      <c r="I23" s="7" t="inlineStr">
        <is>
          <t>1.2</t>
        </is>
      </c>
      <c r="J23" s="7" t="inlineStr">
        <is>
          <t>Sports Tourer</t>
        </is>
      </c>
      <c r="K23" s="8" t="n">
        <v>1</v>
      </c>
      <c r="L23" s="7" t="inlineStr">
        <is>
          <t>Full</t>
        </is>
      </c>
      <c r="M23" s="7" t="inlineStr">
        <is>
          <t>Private</t>
        </is>
      </c>
      <c r="N23" s="7" t="inlineStr">
        <is>
          <t>Fair</t>
        </is>
      </c>
      <c r="O23" s="7" t="inlineStr">
        <is>
          <t>Wales</t>
        </is>
      </c>
      <c r="P23" s="9" t="n">
        <v>28500</v>
      </c>
      <c r="Q23" s="9" t="n">
        <v>15420</v>
      </c>
      <c r="R23" s="10">
        <f>Q23/P23</f>
        <v/>
      </c>
    </row>
    <row r="24">
      <c r="A24" s="7" t="inlineStr">
        <is>
          <t>AST-023</t>
        </is>
      </c>
      <c r="B24" s="8" t="n">
        <v>2024</v>
      </c>
      <c r="C24" s="8">
        <f>Calibration!$B$3-B24</f>
        <v/>
      </c>
      <c r="D24" s="9" t="n">
        <v>17262</v>
      </c>
      <c r="E24" s="9">
        <f>IF(C24=0,"",ROUND(D24/C24,0))</f>
        <v/>
      </c>
      <c r="F24" s="7" t="inlineStr">
        <is>
          <t>GS</t>
        </is>
      </c>
      <c r="G24" s="7" t="inlineStr">
        <is>
          <t>Petrol</t>
        </is>
      </c>
      <c r="H24" s="7" t="inlineStr">
        <is>
          <t>Automatic</t>
        </is>
      </c>
      <c r="I24" s="7" t="inlineStr">
        <is>
          <t>1.4</t>
        </is>
      </c>
      <c r="J24" s="7" t="inlineStr">
        <is>
          <t>Sports Tourer</t>
        </is>
      </c>
      <c r="K24" s="8" t="n">
        <v>2</v>
      </c>
      <c r="L24" s="7" t="inlineStr">
        <is>
          <t>Full</t>
        </is>
      </c>
      <c r="M24" s="7" t="inlineStr">
        <is>
          <t>Franchise dealer</t>
        </is>
      </c>
      <c r="N24" s="7" t="inlineStr">
        <is>
          <t>Good</t>
        </is>
      </c>
      <c r="O24" s="7" t="inlineStr">
        <is>
          <t>London</t>
        </is>
      </c>
      <c r="P24" s="9" t="n">
        <v>28500</v>
      </c>
      <c r="Q24" s="9" t="n">
        <v>19765</v>
      </c>
      <c r="R24" s="10">
        <f>Q24/P24</f>
        <v/>
      </c>
    </row>
    <row r="25">
      <c r="A25" s="7" t="inlineStr">
        <is>
          <t>AST-024</t>
        </is>
      </c>
      <c r="B25" s="8" t="n">
        <v>2023</v>
      </c>
      <c r="C25" s="8">
        <f>Calibration!$B$3-B25</f>
        <v/>
      </c>
      <c r="D25" s="9" t="n">
        <v>18639</v>
      </c>
      <c r="E25" s="9">
        <f>IF(C25=0,"",ROUND(D25/C25,0))</f>
        <v/>
      </c>
      <c r="F25" s="7" t="inlineStr">
        <is>
          <t>Design</t>
        </is>
      </c>
      <c r="G25" s="7" t="inlineStr">
        <is>
          <t>Plug-in Hybrid</t>
        </is>
      </c>
      <c r="H25" s="7" t="inlineStr">
        <is>
          <t>Automatic</t>
        </is>
      </c>
      <c r="I25" s="7" t="inlineStr">
        <is>
          <t>1.6</t>
        </is>
      </c>
      <c r="J25" s="7" t="inlineStr">
        <is>
          <t>Hatchback</t>
        </is>
      </c>
      <c r="K25" s="8" t="n">
        <v>2</v>
      </c>
      <c r="L25" s="7" t="inlineStr">
        <is>
          <t>Full</t>
        </is>
      </c>
      <c r="M25" s="7" t="inlineStr">
        <is>
          <t>Franchise dealer</t>
        </is>
      </c>
      <c r="N25" s="7" t="inlineStr">
        <is>
          <t>Good</t>
        </is>
      </c>
      <c r="O25" s="7" t="inlineStr">
        <is>
          <t>West Midlands</t>
        </is>
      </c>
      <c r="P25" s="9" t="n">
        <v>27500</v>
      </c>
      <c r="Q25" s="9" t="n">
        <v>16365</v>
      </c>
      <c r="R25" s="10">
        <f>Q25/P25</f>
        <v/>
      </c>
    </row>
    <row r="26">
      <c r="A26" s="7" t="inlineStr">
        <is>
          <t>AST-025</t>
        </is>
      </c>
      <c r="B26" s="8" t="n">
        <v>2023</v>
      </c>
      <c r="C26" s="8">
        <f>Calibration!$B$3-B26</f>
        <v/>
      </c>
      <c r="D26" s="9" t="n">
        <v>25974</v>
      </c>
      <c r="E26" s="9">
        <f>IF(C26=0,"",ROUND(D26/C26,0))</f>
        <v/>
      </c>
      <c r="F26" s="7" t="inlineStr">
        <is>
          <t>Design</t>
        </is>
      </c>
      <c r="G26" s="7" t="inlineStr">
        <is>
          <t>Petrol</t>
        </is>
      </c>
      <c r="H26" s="7" t="inlineStr">
        <is>
          <t>Automatic</t>
        </is>
      </c>
      <c r="I26" s="7" t="inlineStr">
        <is>
          <t>1.6</t>
        </is>
      </c>
      <c r="J26" s="7" t="inlineStr">
        <is>
          <t>Hatchback</t>
        </is>
      </c>
      <c r="K26" s="8" t="n">
        <v>1</v>
      </c>
      <c r="L26" s="7" t="inlineStr">
        <is>
          <t>Full</t>
        </is>
      </c>
      <c r="M26" s="7" t="inlineStr">
        <is>
          <t>Independent dealer</t>
        </is>
      </c>
      <c r="N26" s="7" t="inlineStr">
        <is>
          <t>Good</t>
        </is>
      </c>
      <c r="O26" s="7" t="inlineStr">
        <is>
          <t>London</t>
        </is>
      </c>
      <c r="P26" s="9" t="n">
        <v>27500</v>
      </c>
      <c r="Q26" s="9" t="n">
        <v>14295</v>
      </c>
      <c r="R26" s="10">
        <f>Q26/P26</f>
        <v/>
      </c>
    </row>
    <row r="27">
      <c r="A27" s="7" t="inlineStr">
        <is>
          <t>AST-026</t>
        </is>
      </c>
      <c r="B27" s="8" t="n">
        <v>2023</v>
      </c>
      <c r="C27" s="8">
        <f>Calibration!$B$3-B27</f>
        <v/>
      </c>
      <c r="D27" s="9" t="n">
        <v>61727</v>
      </c>
      <c r="E27" s="9">
        <f>IF(C27=0,"",ROUND(D27/C27,0))</f>
        <v/>
      </c>
      <c r="F27" s="7" t="inlineStr">
        <is>
          <t>Design</t>
        </is>
      </c>
      <c r="G27" s="7" t="inlineStr">
        <is>
          <t>Hybrid</t>
        </is>
      </c>
      <c r="H27" s="7" t="inlineStr">
        <is>
          <t>Automatic</t>
        </is>
      </c>
      <c r="I27" s="7" t="inlineStr">
        <is>
          <t>1.2</t>
        </is>
      </c>
      <c r="J27" s="7" t="inlineStr">
        <is>
          <t>Hatchback</t>
        </is>
      </c>
      <c r="K27" s="8" t="n">
        <v>1</v>
      </c>
      <c r="L27" s="7" t="inlineStr">
        <is>
          <t>Partial</t>
        </is>
      </c>
      <c r="M27" s="7" t="inlineStr">
        <is>
          <t>Franchise dealer</t>
        </is>
      </c>
      <c r="N27" s="7" t="inlineStr">
        <is>
          <t>Good</t>
        </is>
      </c>
      <c r="O27" s="7" t="inlineStr">
        <is>
          <t>Yorkshire</t>
        </is>
      </c>
      <c r="P27" s="9" t="n">
        <v>27500</v>
      </c>
      <c r="Q27" s="9" t="n">
        <v>13355</v>
      </c>
      <c r="R27" s="10">
        <f>Q27/P27</f>
        <v/>
      </c>
    </row>
    <row r="28">
      <c r="A28" s="7" t="inlineStr">
        <is>
          <t>AST-027</t>
        </is>
      </c>
      <c r="B28" s="8" t="n">
        <v>2023</v>
      </c>
      <c r="C28" s="8">
        <f>Calibration!$B$3-B28</f>
        <v/>
      </c>
      <c r="D28" s="9" t="n">
        <v>36473</v>
      </c>
      <c r="E28" s="9">
        <f>IF(C28=0,"",ROUND(D28/C28,0))</f>
        <v/>
      </c>
      <c r="F28" s="7" t="inlineStr">
        <is>
          <t>Ultimate</t>
        </is>
      </c>
      <c r="G28" s="7" t="inlineStr">
        <is>
          <t>Plug-in Hybrid</t>
        </is>
      </c>
      <c r="H28" s="7" t="inlineStr">
        <is>
          <t>Automatic</t>
        </is>
      </c>
      <c r="I28" s="7" t="inlineStr">
        <is>
          <t>1.6</t>
        </is>
      </c>
      <c r="J28" s="7" t="inlineStr">
        <is>
          <t>Hatchback</t>
        </is>
      </c>
      <c r="K28" s="8" t="n">
        <v>1</v>
      </c>
      <c r="L28" s="7" t="inlineStr">
        <is>
          <t>None</t>
        </is>
      </c>
      <c r="M28" s="7" t="inlineStr">
        <is>
          <t>Independent dealer</t>
        </is>
      </c>
      <c r="N28" s="7" t="inlineStr">
        <is>
          <t>Good</t>
        </is>
      </c>
      <c r="O28" s="7" t="inlineStr">
        <is>
          <t>Yorkshire</t>
        </is>
      </c>
      <c r="P28" s="9" t="n">
        <v>27500</v>
      </c>
      <c r="Q28" s="9" t="n">
        <v>13830</v>
      </c>
      <c r="R28" s="10">
        <f>Q28/P28</f>
        <v/>
      </c>
    </row>
    <row r="29">
      <c r="A29" s="7" t="inlineStr">
        <is>
          <t>AST-028</t>
        </is>
      </c>
      <c r="B29" s="8" t="n">
        <v>2023</v>
      </c>
      <c r="C29" s="8">
        <f>Calibration!$B$3-B29</f>
        <v/>
      </c>
      <c r="D29" s="9" t="n">
        <v>15959</v>
      </c>
      <c r="E29" s="9">
        <f>IF(C29=0,"",ROUND(D29/C29,0))</f>
        <v/>
      </c>
      <c r="F29" s="7" t="inlineStr">
        <is>
          <t>GS Line</t>
        </is>
      </c>
      <c r="G29" s="7" t="inlineStr">
        <is>
          <t>Petrol</t>
        </is>
      </c>
      <c r="H29" s="7" t="inlineStr">
        <is>
          <t>Manual</t>
        </is>
      </c>
      <c r="I29" s="7" t="inlineStr">
        <is>
          <t>1.5</t>
        </is>
      </c>
      <c r="J29" s="7" t="inlineStr">
        <is>
          <t>Hatchback</t>
        </is>
      </c>
      <c r="K29" s="8" t="n">
        <v>1</v>
      </c>
      <c r="L29" s="7" t="inlineStr">
        <is>
          <t>Full</t>
        </is>
      </c>
      <c r="M29" s="7" t="inlineStr">
        <is>
          <t>Independent dealer</t>
        </is>
      </c>
      <c r="N29" s="7" t="inlineStr">
        <is>
          <t>Fair</t>
        </is>
      </c>
      <c r="O29" s="7" t="inlineStr">
        <is>
          <t>Yorkshire</t>
        </is>
      </c>
      <c r="P29" s="9" t="n">
        <v>27500</v>
      </c>
      <c r="Q29" s="9" t="n">
        <v>13790</v>
      </c>
      <c r="R29" s="10">
        <f>Q29/P29</f>
        <v/>
      </c>
    </row>
    <row r="30">
      <c r="A30" s="7" t="inlineStr">
        <is>
          <t>AST-029</t>
        </is>
      </c>
      <c r="B30" s="8" t="n">
        <v>2023</v>
      </c>
      <c r="C30" s="8">
        <f>Calibration!$B$3-B30</f>
        <v/>
      </c>
      <c r="D30" s="9" t="n">
        <v>29741</v>
      </c>
      <c r="E30" s="9">
        <f>IF(C30=0,"",ROUND(D30/C30,0))</f>
        <v/>
      </c>
      <c r="F30" s="7" t="inlineStr">
        <is>
          <t>GS</t>
        </is>
      </c>
      <c r="G30" s="7" t="inlineStr">
        <is>
          <t>Electric</t>
        </is>
      </c>
      <c r="H30" s="7" t="inlineStr">
        <is>
          <t>Automatic</t>
        </is>
      </c>
      <c r="I30" s="7" t="inlineStr">
        <is>
          <t>-</t>
        </is>
      </c>
      <c r="J30" s="7" t="inlineStr">
        <is>
          <t>Sports Tourer</t>
        </is>
      </c>
      <c r="K30" s="8" t="n">
        <v>2</v>
      </c>
      <c r="L30" s="7" t="inlineStr">
        <is>
          <t>Full</t>
        </is>
      </c>
      <c r="M30" s="7" t="inlineStr">
        <is>
          <t>Independent dealer</t>
        </is>
      </c>
      <c r="N30" s="7" t="inlineStr">
        <is>
          <t>Good</t>
        </is>
      </c>
      <c r="O30" s="7" t="inlineStr">
        <is>
          <t>North East</t>
        </is>
      </c>
      <c r="P30" s="9" t="n">
        <v>27500</v>
      </c>
      <c r="Q30" s="9" t="n">
        <v>13615</v>
      </c>
      <c r="R30" s="10">
        <f>Q30/P30</f>
        <v/>
      </c>
    </row>
    <row r="31">
      <c r="A31" s="7" t="inlineStr">
        <is>
          <t>AST-030</t>
        </is>
      </c>
      <c r="B31" s="8" t="n">
        <v>2023</v>
      </c>
      <c r="C31" s="8">
        <f>Calibration!$B$3-B31</f>
        <v/>
      </c>
      <c r="D31" s="9" t="n">
        <v>61200</v>
      </c>
      <c r="E31" s="9">
        <f>IF(C31=0,"",ROUND(D31/C31,0))</f>
        <v/>
      </c>
      <c r="F31" s="7" t="inlineStr">
        <is>
          <t>Design</t>
        </is>
      </c>
      <c r="G31" s="7" t="inlineStr">
        <is>
          <t>Hybrid</t>
        </is>
      </c>
      <c r="H31" s="7" t="inlineStr">
        <is>
          <t>Automatic</t>
        </is>
      </c>
      <c r="I31" s="7" t="inlineStr">
        <is>
          <t>1.2</t>
        </is>
      </c>
      <c r="J31" s="7" t="inlineStr">
        <is>
          <t>Sports Tourer</t>
        </is>
      </c>
      <c r="K31" s="8" t="n">
        <v>1</v>
      </c>
      <c r="L31" s="7" t="inlineStr">
        <is>
          <t>Partial</t>
        </is>
      </c>
      <c r="M31" s="7" t="inlineStr">
        <is>
          <t>Private</t>
        </is>
      </c>
      <c r="N31" s="7" t="inlineStr">
        <is>
          <t>Good</t>
        </is>
      </c>
      <c r="O31" s="7" t="inlineStr">
        <is>
          <t>West Midlands</t>
        </is>
      </c>
      <c r="P31" s="9" t="n">
        <v>27500</v>
      </c>
      <c r="Q31" s="9" t="n">
        <v>11650</v>
      </c>
      <c r="R31" s="10">
        <f>Q31/P31</f>
        <v/>
      </c>
    </row>
    <row r="32">
      <c r="A32" s="7" t="inlineStr">
        <is>
          <t>AST-031</t>
        </is>
      </c>
      <c r="B32" s="8" t="n">
        <v>2023</v>
      </c>
      <c r="C32" s="8">
        <f>Calibration!$B$3-B32</f>
        <v/>
      </c>
      <c r="D32" s="9" t="n">
        <v>21063</v>
      </c>
      <c r="E32" s="9">
        <f>IF(C32=0,"",ROUND(D32/C32,0))</f>
        <v/>
      </c>
      <c r="F32" s="7" t="inlineStr">
        <is>
          <t>GS Line</t>
        </is>
      </c>
      <c r="G32" s="7" t="inlineStr">
        <is>
          <t>Hybrid</t>
        </is>
      </c>
      <c r="H32" s="7" t="inlineStr">
        <is>
          <t>Automatic</t>
        </is>
      </c>
      <c r="I32" s="7" t="inlineStr">
        <is>
          <t>1.2</t>
        </is>
      </c>
      <c r="J32" s="7" t="inlineStr">
        <is>
          <t>Hatchback</t>
        </is>
      </c>
      <c r="K32" s="8" t="n">
        <v>1</v>
      </c>
      <c r="L32" s="7" t="inlineStr">
        <is>
          <t>Full</t>
        </is>
      </c>
      <c r="M32" s="7" t="inlineStr">
        <is>
          <t>Independent dealer</t>
        </is>
      </c>
      <c r="N32" s="7" t="inlineStr">
        <is>
          <t>Good</t>
        </is>
      </c>
      <c r="O32" s="7" t="inlineStr">
        <is>
          <t>Wales</t>
        </is>
      </c>
      <c r="P32" s="9" t="n">
        <v>27500</v>
      </c>
      <c r="Q32" s="9" t="n">
        <v>17545</v>
      </c>
      <c r="R32" s="10">
        <f>Q32/P32</f>
        <v/>
      </c>
    </row>
    <row r="33">
      <c r="A33" s="7" t="inlineStr">
        <is>
          <t>AST-032</t>
        </is>
      </c>
      <c r="B33" s="8" t="n">
        <v>2023</v>
      </c>
      <c r="C33" s="8">
        <f>Calibration!$B$3-B33</f>
        <v/>
      </c>
      <c r="D33" s="9" t="n">
        <v>29645</v>
      </c>
      <c r="E33" s="9">
        <f>IF(C33=0,"",ROUND(D33/C33,0))</f>
        <v/>
      </c>
      <c r="F33" s="7" t="inlineStr">
        <is>
          <t>Ultimate</t>
        </is>
      </c>
      <c r="G33" s="7" t="inlineStr">
        <is>
          <t>Petrol</t>
        </is>
      </c>
      <c r="H33" s="7" t="inlineStr">
        <is>
          <t>Automatic</t>
        </is>
      </c>
      <c r="I33" s="7" t="inlineStr">
        <is>
          <t>1.4</t>
        </is>
      </c>
      <c r="J33" s="7" t="inlineStr">
        <is>
          <t>Hatchback</t>
        </is>
      </c>
      <c r="K33" s="8" t="n">
        <v>2</v>
      </c>
      <c r="L33" s="7" t="inlineStr">
        <is>
          <t>Full</t>
        </is>
      </c>
      <c r="M33" s="7" t="inlineStr">
        <is>
          <t>Independent dealer</t>
        </is>
      </c>
      <c r="N33" s="7" t="inlineStr">
        <is>
          <t>Excellent</t>
        </is>
      </c>
      <c r="O33" s="7" t="inlineStr">
        <is>
          <t>London</t>
        </is>
      </c>
      <c r="P33" s="9" t="n">
        <v>27500</v>
      </c>
      <c r="Q33" s="9" t="n">
        <v>16120</v>
      </c>
      <c r="R33" s="10">
        <f>Q33/P33</f>
        <v/>
      </c>
    </row>
    <row r="34">
      <c r="A34" s="7" t="inlineStr">
        <is>
          <t>AST-033</t>
        </is>
      </c>
      <c r="B34" s="8" t="n">
        <v>2022</v>
      </c>
      <c r="C34" s="8">
        <f>Calibration!$B$3-B34</f>
        <v/>
      </c>
      <c r="D34" s="9" t="n">
        <v>83026</v>
      </c>
      <c r="E34" s="9">
        <f>IF(C34=0,"",ROUND(D34/C34,0))</f>
        <v/>
      </c>
      <c r="F34" s="7" t="inlineStr">
        <is>
          <t>Ultimate</t>
        </is>
      </c>
      <c r="G34" s="7" t="inlineStr">
        <is>
          <t>Petrol</t>
        </is>
      </c>
      <c r="H34" s="7" t="inlineStr">
        <is>
          <t>Manual</t>
        </is>
      </c>
      <c r="I34" s="7" t="inlineStr">
        <is>
          <t>1.5</t>
        </is>
      </c>
      <c r="J34" s="7" t="inlineStr">
        <is>
          <t>Sports Tourer</t>
        </is>
      </c>
      <c r="K34" s="8" t="n">
        <v>2</v>
      </c>
      <c r="L34" s="7" t="inlineStr">
        <is>
          <t>Full</t>
        </is>
      </c>
      <c r="M34" s="7" t="inlineStr">
        <is>
          <t>Franchise dealer</t>
        </is>
      </c>
      <c r="N34" s="7" t="inlineStr">
        <is>
          <t>Good</t>
        </is>
      </c>
      <c r="O34" s="7" t="inlineStr">
        <is>
          <t>North East</t>
        </is>
      </c>
      <c r="P34" s="9" t="n">
        <v>25500</v>
      </c>
      <c r="Q34" s="9" t="n">
        <v>10515</v>
      </c>
      <c r="R34" s="10">
        <f>Q34/P34</f>
        <v/>
      </c>
    </row>
    <row r="35">
      <c r="A35" s="7" t="inlineStr">
        <is>
          <t>AST-034</t>
        </is>
      </c>
      <c r="B35" s="8" t="n">
        <v>2022</v>
      </c>
      <c r="C35" s="8">
        <f>Calibration!$B$3-B35</f>
        <v/>
      </c>
      <c r="D35" s="9" t="n">
        <v>57452</v>
      </c>
      <c r="E35" s="9">
        <f>IF(C35=0,"",ROUND(D35/C35,0))</f>
        <v/>
      </c>
      <c r="F35" s="7" t="inlineStr">
        <is>
          <t>Design</t>
        </is>
      </c>
      <c r="G35" s="7" t="inlineStr">
        <is>
          <t>Petrol</t>
        </is>
      </c>
      <c r="H35" s="7" t="inlineStr">
        <is>
          <t>Manual</t>
        </is>
      </c>
      <c r="I35" s="7" t="inlineStr">
        <is>
          <t>1.4</t>
        </is>
      </c>
      <c r="J35" s="7" t="inlineStr">
        <is>
          <t>Hatchback</t>
        </is>
      </c>
      <c r="K35" s="8" t="n">
        <v>3</v>
      </c>
      <c r="L35" s="7" t="inlineStr">
        <is>
          <t>Full</t>
        </is>
      </c>
      <c r="M35" s="7" t="inlineStr">
        <is>
          <t>Independent dealer</t>
        </is>
      </c>
      <c r="N35" s="7" t="inlineStr">
        <is>
          <t>Good</t>
        </is>
      </c>
      <c r="O35" s="7" t="inlineStr">
        <is>
          <t>North West</t>
        </is>
      </c>
      <c r="P35" s="9" t="n">
        <v>25500</v>
      </c>
      <c r="Q35" s="9" t="n">
        <v>10030</v>
      </c>
      <c r="R35" s="10">
        <f>Q35/P35</f>
        <v/>
      </c>
    </row>
    <row r="36">
      <c r="A36" s="7" t="inlineStr">
        <is>
          <t>AST-035</t>
        </is>
      </c>
      <c r="B36" s="8" t="n">
        <v>2022</v>
      </c>
      <c r="C36" s="8">
        <f>Calibration!$B$3-B36</f>
        <v/>
      </c>
      <c r="D36" s="9" t="n">
        <v>77061</v>
      </c>
      <c r="E36" s="9">
        <f>IF(C36=0,"",ROUND(D36/C36,0))</f>
        <v/>
      </c>
      <c r="F36" s="7" t="inlineStr">
        <is>
          <t>Ultimate</t>
        </is>
      </c>
      <c r="G36" s="7" t="inlineStr">
        <is>
          <t>Petrol</t>
        </is>
      </c>
      <c r="H36" s="7" t="inlineStr">
        <is>
          <t>Manual</t>
        </is>
      </c>
      <c r="I36" s="7" t="inlineStr">
        <is>
          <t>1.2</t>
        </is>
      </c>
      <c r="J36" s="7" t="inlineStr">
        <is>
          <t>Hatchback</t>
        </is>
      </c>
      <c r="K36" s="8" t="n">
        <v>2</v>
      </c>
      <c r="L36" s="7" t="inlineStr">
        <is>
          <t>Full</t>
        </is>
      </c>
      <c r="M36" s="7" t="inlineStr">
        <is>
          <t>Independent dealer</t>
        </is>
      </c>
      <c r="N36" s="7" t="inlineStr">
        <is>
          <t>Excellent</t>
        </is>
      </c>
      <c r="O36" s="7" t="inlineStr">
        <is>
          <t>South West</t>
        </is>
      </c>
      <c r="P36" s="9" t="n">
        <v>25500</v>
      </c>
      <c r="Q36" s="9" t="n">
        <v>10595</v>
      </c>
      <c r="R36" s="10">
        <f>Q36/P36</f>
        <v/>
      </c>
    </row>
    <row r="37">
      <c r="A37" s="7" t="inlineStr">
        <is>
          <t>AST-036</t>
        </is>
      </c>
      <c r="B37" s="8" t="n">
        <v>2022</v>
      </c>
      <c r="C37" s="8">
        <f>Calibration!$B$3-B37</f>
        <v/>
      </c>
      <c r="D37" s="9" t="n">
        <v>79823</v>
      </c>
      <c r="E37" s="9">
        <f>IF(C37=0,"",ROUND(D37/C37,0))</f>
        <v/>
      </c>
      <c r="F37" s="7" t="inlineStr">
        <is>
          <t>Ultimate</t>
        </is>
      </c>
      <c r="G37" s="7" t="inlineStr">
        <is>
          <t>Petrol</t>
        </is>
      </c>
      <c r="H37" s="7" t="inlineStr">
        <is>
          <t>Automatic</t>
        </is>
      </c>
      <c r="I37" s="7" t="inlineStr">
        <is>
          <t>1.2</t>
        </is>
      </c>
      <c r="J37" s="7" t="inlineStr">
        <is>
          <t>Sports Tourer</t>
        </is>
      </c>
      <c r="K37" s="8" t="n">
        <v>4</v>
      </c>
      <c r="L37" s="7" t="inlineStr">
        <is>
          <t>Partial</t>
        </is>
      </c>
      <c r="M37" s="7" t="inlineStr">
        <is>
          <t>Independent dealer</t>
        </is>
      </c>
      <c r="N37" s="7" t="inlineStr">
        <is>
          <t>Excellent</t>
        </is>
      </c>
      <c r="O37" s="7" t="inlineStr">
        <is>
          <t>Yorkshire</t>
        </is>
      </c>
      <c r="P37" s="9" t="n">
        <v>25500</v>
      </c>
      <c r="Q37" s="9" t="n">
        <v>10665</v>
      </c>
      <c r="R37" s="10">
        <f>Q37/P37</f>
        <v/>
      </c>
    </row>
    <row r="38">
      <c r="A38" s="7" t="inlineStr">
        <is>
          <t>AST-037</t>
        </is>
      </c>
      <c r="B38" s="8" t="n">
        <v>2022</v>
      </c>
      <c r="C38" s="8">
        <f>Calibration!$B$3-B38</f>
        <v/>
      </c>
      <c r="D38" s="9" t="n">
        <v>65448</v>
      </c>
      <c r="E38" s="9">
        <f>IF(C38=0,"",ROUND(D38/C38,0))</f>
        <v/>
      </c>
      <c r="F38" s="7" t="inlineStr">
        <is>
          <t>Ultimate</t>
        </is>
      </c>
      <c r="G38" s="7" t="inlineStr">
        <is>
          <t>Petrol</t>
        </is>
      </c>
      <c r="H38" s="7" t="inlineStr">
        <is>
          <t>Manual</t>
        </is>
      </c>
      <c r="I38" s="7" t="inlineStr">
        <is>
          <t>1.5</t>
        </is>
      </c>
      <c r="J38" s="7" t="inlineStr">
        <is>
          <t>Hatchback</t>
        </is>
      </c>
      <c r="K38" s="8" t="n">
        <v>2</v>
      </c>
      <c r="L38" s="7" t="inlineStr">
        <is>
          <t>Full</t>
        </is>
      </c>
      <c r="M38" s="7" t="inlineStr">
        <is>
          <t>Franchise dealer</t>
        </is>
      </c>
      <c r="N38" s="7" t="inlineStr">
        <is>
          <t>Good</t>
        </is>
      </c>
      <c r="O38" s="7" t="inlineStr">
        <is>
          <t>London</t>
        </is>
      </c>
      <c r="P38" s="9" t="n">
        <v>25500</v>
      </c>
      <c r="Q38" s="9" t="n">
        <v>12450</v>
      </c>
      <c r="R38" s="10">
        <f>Q38/P38</f>
        <v/>
      </c>
    </row>
    <row r="39">
      <c r="A39" s="7" t="inlineStr">
        <is>
          <t>AST-038</t>
        </is>
      </c>
      <c r="B39" s="8" t="n">
        <v>2022</v>
      </c>
      <c r="C39" s="8">
        <f>Calibration!$B$3-B39</f>
        <v/>
      </c>
      <c r="D39" s="9" t="n">
        <v>71119</v>
      </c>
      <c r="E39" s="9">
        <f>IF(C39=0,"",ROUND(D39/C39,0))</f>
        <v/>
      </c>
      <c r="F39" s="7" t="inlineStr">
        <is>
          <t>Design</t>
        </is>
      </c>
      <c r="G39" s="7" t="inlineStr">
        <is>
          <t>Plug-in Hybrid</t>
        </is>
      </c>
      <c r="H39" s="7" t="inlineStr">
        <is>
          <t>Automatic</t>
        </is>
      </c>
      <c r="I39" s="7" t="inlineStr">
        <is>
          <t>1.6</t>
        </is>
      </c>
      <c r="J39" s="7" t="inlineStr">
        <is>
          <t>Hatchback</t>
        </is>
      </c>
      <c r="K39" s="8" t="n">
        <v>2</v>
      </c>
      <c r="L39" s="7" t="inlineStr">
        <is>
          <t>Partial</t>
        </is>
      </c>
      <c r="M39" s="7" t="inlineStr">
        <is>
          <t>Independent dealer</t>
        </is>
      </c>
      <c r="N39" s="7" t="inlineStr">
        <is>
          <t>Good</t>
        </is>
      </c>
      <c r="O39" s="7" t="inlineStr">
        <is>
          <t>East of England</t>
        </is>
      </c>
      <c r="P39" s="9" t="n">
        <v>25500</v>
      </c>
      <c r="Q39" s="9" t="n">
        <v>8945</v>
      </c>
      <c r="R39" s="10">
        <f>Q39/P39</f>
        <v/>
      </c>
    </row>
    <row r="40">
      <c r="A40" s="7" t="inlineStr">
        <is>
          <t>AST-039</t>
        </is>
      </c>
      <c r="B40" s="8" t="n">
        <v>2022</v>
      </c>
      <c r="C40" s="8">
        <f>Calibration!$B$3-B40</f>
        <v/>
      </c>
      <c r="D40" s="9" t="n">
        <v>36871</v>
      </c>
      <c r="E40" s="9">
        <f>IF(C40=0,"",ROUND(D40/C40,0))</f>
        <v/>
      </c>
      <c r="F40" s="7" t="inlineStr">
        <is>
          <t>GS Line</t>
        </is>
      </c>
      <c r="G40" s="7" t="inlineStr">
        <is>
          <t>Plug-in Hybrid</t>
        </is>
      </c>
      <c r="H40" s="7" t="inlineStr">
        <is>
          <t>Automatic</t>
        </is>
      </c>
      <c r="I40" s="7" t="inlineStr">
        <is>
          <t>1.6</t>
        </is>
      </c>
      <c r="J40" s="7" t="inlineStr">
        <is>
          <t>Hatchback</t>
        </is>
      </c>
      <c r="K40" s="8" t="n">
        <v>1</v>
      </c>
      <c r="L40" s="7" t="inlineStr">
        <is>
          <t>Full</t>
        </is>
      </c>
      <c r="M40" s="7" t="inlineStr">
        <is>
          <t>Franchise dealer</t>
        </is>
      </c>
      <c r="N40" s="7" t="inlineStr">
        <is>
          <t>Fair</t>
        </is>
      </c>
      <c r="O40" s="7" t="inlineStr">
        <is>
          <t>Wales</t>
        </is>
      </c>
      <c r="P40" s="9" t="n">
        <v>25500</v>
      </c>
      <c r="Q40" s="9" t="n">
        <v>13340</v>
      </c>
      <c r="R40" s="10">
        <f>Q40/P40</f>
        <v/>
      </c>
    </row>
    <row r="41">
      <c r="A41" s="7" t="inlineStr">
        <is>
          <t>AST-040</t>
        </is>
      </c>
      <c r="B41" s="8" t="n">
        <v>2022</v>
      </c>
      <c r="C41" s="8">
        <f>Calibration!$B$3-B41</f>
        <v/>
      </c>
      <c r="D41" s="9" t="n">
        <v>57613</v>
      </c>
      <c r="E41" s="9">
        <f>IF(C41=0,"",ROUND(D41/C41,0))</f>
        <v/>
      </c>
      <c r="F41" s="7" t="inlineStr">
        <is>
          <t>Design</t>
        </is>
      </c>
      <c r="G41" s="7" t="inlineStr">
        <is>
          <t>Petrol</t>
        </is>
      </c>
      <c r="H41" s="7" t="inlineStr">
        <is>
          <t>Manual</t>
        </is>
      </c>
      <c r="I41" s="7" t="inlineStr">
        <is>
          <t>1.4</t>
        </is>
      </c>
      <c r="J41" s="7" t="inlineStr">
        <is>
          <t>Hatchback</t>
        </is>
      </c>
      <c r="K41" s="8" t="n">
        <v>3</v>
      </c>
      <c r="L41" s="7" t="inlineStr">
        <is>
          <t>Full</t>
        </is>
      </c>
      <c r="M41" s="7" t="inlineStr">
        <is>
          <t>Franchise dealer</t>
        </is>
      </c>
      <c r="N41" s="7" t="inlineStr">
        <is>
          <t>Good</t>
        </is>
      </c>
      <c r="O41" s="7" t="inlineStr">
        <is>
          <t>East of England</t>
        </is>
      </c>
      <c r="P41" s="9" t="n">
        <v>25500</v>
      </c>
      <c r="Q41" s="9" t="n">
        <v>10890</v>
      </c>
      <c r="R41" s="10">
        <f>Q41/P41</f>
        <v/>
      </c>
    </row>
    <row r="42">
      <c r="A42" s="7" t="inlineStr">
        <is>
          <t>AST-041</t>
        </is>
      </c>
      <c r="B42" s="8" t="n">
        <v>2022</v>
      </c>
      <c r="C42" s="8">
        <f>Calibration!$B$3-B42</f>
        <v/>
      </c>
      <c r="D42" s="9" t="n">
        <v>40634</v>
      </c>
      <c r="E42" s="9">
        <f>IF(C42=0,"",ROUND(D42/C42,0))</f>
        <v/>
      </c>
      <c r="F42" s="7" t="inlineStr">
        <is>
          <t>Design</t>
        </is>
      </c>
      <c r="G42" s="7" t="inlineStr">
        <is>
          <t>Plug-in Hybrid</t>
        </is>
      </c>
      <c r="H42" s="7" t="inlineStr">
        <is>
          <t>Automatic</t>
        </is>
      </c>
      <c r="I42" s="7" t="inlineStr">
        <is>
          <t>1.6</t>
        </is>
      </c>
      <c r="J42" s="7" t="inlineStr">
        <is>
          <t>Hatchback</t>
        </is>
      </c>
      <c r="K42" s="8" t="n">
        <v>3</v>
      </c>
      <c r="L42" s="7" t="inlineStr">
        <is>
          <t>Partial</t>
        </is>
      </c>
      <c r="M42" s="7" t="inlineStr">
        <is>
          <t>Independent dealer</t>
        </is>
      </c>
      <c r="N42" s="7" t="inlineStr">
        <is>
          <t>Excellent</t>
        </is>
      </c>
      <c r="O42" s="7" t="inlineStr">
        <is>
          <t>West Midlands</t>
        </is>
      </c>
      <c r="P42" s="9" t="n">
        <v>25500</v>
      </c>
      <c r="Q42" s="9" t="n">
        <v>10825</v>
      </c>
      <c r="R42" s="10">
        <f>Q42/P42</f>
        <v/>
      </c>
    </row>
    <row r="43">
      <c r="A43" s="7" t="inlineStr">
        <is>
          <t>AST-042</t>
        </is>
      </c>
      <c r="B43" s="8" t="n">
        <v>2022</v>
      </c>
      <c r="C43" s="8">
        <f>Calibration!$B$3-B43</f>
        <v/>
      </c>
      <c r="D43" s="9" t="n">
        <v>50692</v>
      </c>
      <c r="E43" s="9">
        <f>IF(C43=0,"",ROUND(D43/C43,0))</f>
        <v/>
      </c>
      <c r="F43" s="7" t="inlineStr">
        <is>
          <t>Griffin</t>
        </is>
      </c>
      <c r="G43" s="7" t="inlineStr">
        <is>
          <t>Petrol</t>
        </is>
      </c>
      <c r="H43" s="7" t="inlineStr">
        <is>
          <t>Automatic</t>
        </is>
      </c>
      <c r="I43" s="7" t="inlineStr">
        <is>
          <t>1.5</t>
        </is>
      </c>
      <c r="J43" s="7" t="inlineStr">
        <is>
          <t>Hatchback</t>
        </is>
      </c>
      <c r="K43" s="8" t="n">
        <v>1</v>
      </c>
      <c r="L43" s="7" t="inlineStr">
        <is>
          <t>Partial</t>
        </is>
      </c>
      <c r="M43" s="7" t="inlineStr">
        <is>
          <t>Independent dealer</t>
        </is>
      </c>
      <c r="N43" s="7" t="inlineStr">
        <is>
          <t>Excellent</t>
        </is>
      </c>
      <c r="O43" s="7" t="inlineStr">
        <is>
          <t>North West</t>
        </is>
      </c>
      <c r="P43" s="9" t="n">
        <v>25500</v>
      </c>
      <c r="Q43" s="9" t="n">
        <v>11565</v>
      </c>
      <c r="R43" s="10">
        <f>Q43/P43</f>
        <v/>
      </c>
    </row>
    <row r="44">
      <c r="A44" s="7" t="inlineStr">
        <is>
          <t>AST-043</t>
        </is>
      </c>
      <c r="B44" s="8" t="n">
        <v>2022</v>
      </c>
      <c r="C44" s="8">
        <f>Calibration!$B$3-B44</f>
        <v/>
      </c>
      <c r="D44" s="9" t="n">
        <v>76845</v>
      </c>
      <c r="E44" s="9">
        <f>IF(C44=0,"",ROUND(D44/C44,0))</f>
        <v/>
      </c>
      <c r="F44" s="7" t="inlineStr">
        <is>
          <t>GS Line</t>
        </is>
      </c>
      <c r="G44" s="7" t="inlineStr">
        <is>
          <t>Plug-in Hybrid</t>
        </is>
      </c>
      <c r="H44" s="7" t="inlineStr">
        <is>
          <t>Automatic</t>
        </is>
      </c>
      <c r="I44" s="7" t="inlineStr">
        <is>
          <t>1.6</t>
        </is>
      </c>
      <c r="J44" s="7" t="inlineStr">
        <is>
          <t>Hatchback</t>
        </is>
      </c>
      <c r="K44" s="8" t="n">
        <v>2</v>
      </c>
      <c r="L44" s="7" t="inlineStr">
        <is>
          <t>Partial</t>
        </is>
      </c>
      <c r="M44" s="7" t="inlineStr">
        <is>
          <t>Private</t>
        </is>
      </c>
      <c r="N44" s="7" t="inlineStr">
        <is>
          <t>Good</t>
        </is>
      </c>
      <c r="O44" s="7" t="inlineStr">
        <is>
          <t>North West</t>
        </is>
      </c>
      <c r="P44" s="9" t="n">
        <v>25500</v>
      </c>
      <c r="Q44" s="9" t="n">
        <v>8800</v>
      </c>
      <c r="R44" s="10">
        <f>Q44/P44</f>
        <v/>
      </c>
    </row>
    <row r="45">
      <c r="A45" s="7" t="inlineStr">
        <is>
          <t>AST-044</t>
        </is>
      </c>
      <c r="B45" s="8" t="n">
        <v>2022</v>
      </c>
      <c r="C45" s="8">
        <f>Calibration!$B$3-B45</f>
        <v/>
      </c>
      <c r="D45" s="9" t="n">
        <v>54773</v>
      </c>
      <c r="E45" s="9">
        <f>IF(C45=0,"",ROUND(D45/C45,0))</f>
        <v/>
      </c>
      <c r="F45" s="7" t="inlineStr">
        <is>
          <t>GS Line</t>
        </is>
      </c>
      <c r="G45" s="7" t="inlineStr">
        <is>
          <t>Petrol</t>
        </is>
      </c>
      <c r="H45" s="7" t="inlineStr">
        <is>
          <t>Automatic</t>
        </is>
      </c>
      <c r="I45" s="7" t="inlineStr">
        <is>
          <t>1.4</t>
        </is>
      </c>
      <c r="J45" s="7" t="inlineStr">
        <is>
          <t>Hatchback</t>
        </is>
      </c>
      <c r="K45" s="8" t="n">
        <v>3</v>
      </c>
      <c r="L45" s="7" t="inlineStr">
        <is>
          <t>Full</t>
        </is>
      </c>
      <c r="M45" s="7" t="inlineStr">
        <is>
          <t>Franchise dealer</t>
        </is>
      </c>
      <c r="N45" s="7" t="inlineStr">
        <is>
          <t>Good</t>
        </is>
      </c>
      <c r="O45" s="7" t="inlineStr">
        <is>
          <t>North East</t>
        </is>
      </c>
      <c r="P45" s="9" t="n">
        <v>25500</v>
      </c>
      <c r="Q45" s="9" t="n">
        <v>11540</v>
      </c>
      <c r="R45" s="10">
        <f>Q45/P45</f>
        <v/>
      </c>
    </row>
    <row r="46">
      <c r="A46" s="7" t="inlineStr">
        <is>
          <t>AST-045</t>
        </is>
      </c>
      <c r="B46" s="8" t="n">
        <v>2022</v>
      </c>
      <c r="C46" s="8">
        <f>Calibration!$B$3-B46</f>
        <v/>
      </c>
      <c r="D46" s="9" t="n">
        <v>60789</v>
      </c>
      <c r="E46" s="9">
        <f>IF(C46=0,"",ROUND(D46/C46,0))</f>
        <v/>
      </c>
      <c r="F46" s="7" t="inlineStr">
        <is>
          <t>Griffin</t>
        </is>
      </c>
      <c r="G46" s="7" t="inlineStr">
        <is>
          <t>Petrol</t>
        </is>
      </c>
      <c r="H46" s="7" t="inlineStr">
        <is>
          <t>Automatic</t>
        </is>
      </c>
      <c r="I46" s="7" t="inlineStr">
        <is>
          <t>1.5</t>
        </is>
      </c>
      <c r="J46" s="7" t="inlineStr">
        <is>
          <t>Hatchback</t>
        </is>
      </c>
      <c r="K46" s="8" t="n">
        <v>2</v>
      </c>
      <c r="L46" s="7" t="inlineStr">
        <is>
          <t>Partial</t>
        </is>
      </c>
      <c r="M46" s="7" t="inlineStr">
        <is>
          <t>Franchise dealer</t>
        </is>
      </c>
      <c r="N46" s="7" t="inlineStr">
        <is>
          <t>Excellent</t>
        </is>
      </c>
      <c r="O46" s="7" t="inlineStr">
        <is>
          <t>East of England</t>
        </is>
      </c>
      <c r="P46" s="9" t="n">
        <v>25500</v>
      </c>
      <c r="Q46" s="9" t="n">
        <v>11855</v>
      </c>
      <c r="R46" s="10">
        <f>Q46/P46</f>
        <v/>
      </c>
    </row>
    <row r="47">
      <c r="A47" s="7" t="inlineStr">
        <is>
          <t>AST-046</t>
        </is>
      </c>
      <c r="B47" s="8" t="n">
        <v>2022</v>
      </c>
      <c r="C47" s="8">
        <f>Calibration!$B$3-B47</f>
        <v/>
      </c>
      <c r="D47" s="9" t="n">
        <v>25827</v>
      </c>
      <c r="E47" s="9">
        <f>IF(C47=0,"",ROUND(D47/C47,0))</f>
        <v/>
      </c>
      <c r="F47" s="7" t="inlineStr">
        <is>
          <t>Design</t>
        </is>
      </c>
      <c r="G47" s="7" t="inlineStr">
        <is>
          <t>Petrol</t>
        </is>
      </c>
      <c r="H47" s="7" t="inlineStr">
        <is>
          <t>Automatic</t>
        </is>
      </c>
      <c r="I47" s="7" t="inlineStr">
        <is>
          <t>1.6</t>
        </is>
      </c>
      <c r="J47" s="7" t="inlineStr">
        <is>
          <t>Hatchback</t>
        </is>
      </c>
      <c r="K47" s="8" t="n">
        <v>4</v>
      </c>
      <c r="L47" s="7" t="inlineStr">
        <is>
          <t>Full</t>
        </is>
      </c>
      <c r="M47" s="7" t="inlineStr">
        <is>
          <t>Franchise dealer</t>
        </is>
      </c>
      <c r="N47" s="7" t="inlineStr">
        <is>
          <t>Good</t>
        </is>
      </c>
      <c r="O47" s="7" t="inlineStr">
        <is>
          <t>Yorkshire</t>
        </is>
      </c>
      <c r="P47" s="9" t="n">
        <v>25500</v>
      </c>
      <c r="Q47" s="9" t="n">
        <v>12210</v>
      </c>
      <c r="R47" s="10">
        <f>Q47/P47</f>
        <v/>
      </c>
    </row>
    <row r="48">
      <c r="A48" s="7" t="inlineStr">
        <is>
          <t>AST-047</t>
        </is>
      </c>
      <c r="B48" s="8" t="n">
        <v>2021</v>
      </c>
      <c r="C48" s="8">
        <f>Calibration!$B$3-B48</f>
        <v/>
      </c>
      <c r="D48" s="9" t="n">
        <v>78739</v>
      </c>
      <c r="E48" s="9">
        <f>IF(C48=0,"",ROUND(D48/C48,0))</f>
        <v/>
      </c>
      <c r="F48" s="7" t="inlineStr">
        <is>
          <t>SRi</t>
        </is>
      </c>
      <c r="G48" s="7" t="inlineStr">
        <is>
          <t>Petrol</t>
        </is>
      </c>
      <c r="H48" s="7" t="inlineStr">
        <is>
          <t>Manual</t>
        </is>
      </c>
      <c r="I48" s="7" t="inlineStr">
        <is>
          <t>1.2</t>
        </is>
      </c>
      <c r="J48" s="7" t="inlineStr">
        <is>
          <t>Hatchback</t>
        </is>
      </c>
      <c r="K48" s="8" t="n">
        <v>1</v>
      </c>
      <c r="L48" s="7" t="inlineStr">
        <is>
          <t>Partial</t>
        </is>
      </c>
      <c r="M48" s="7" t="inlineStr">
        <is>
          <t>Independent dealer</t>
        </is>
      </c>
      <c r="N48" s="7" t="inlineStr">
        <is>
          <t>Good</t>
        </is>
      </c>
      <c r="O48" s="7" t="inlineStr">
        <is>
          <t>Wales</t>
        </is>
      </c>
      <c r="P48" s="9" t="n">
        <v>23000</v>
      </c>
      <c r="Q48" s="9" t="n">
        <v>8435</v>
      </c>
      <c r="R48" s="10">
        <f>Q48/P48</f>
        <v/>
      </c>
    </row>
    <row r="49">
      <c r="A49" s="7" t="inlineStr">
        <is>
          <t>AST-048</t>
        </is>
      </c>
      <c r="B49" s="8" t="n">
        <v>2021</v>
      </c>
      <c r="C49" s="8">
        <f>Calibration!$B$3-B49</f>
        <v/>
      </c>
      <c r="D49" s="9" t="n">
        <v>105118</v>
      </c>
      <c r="E49" s="9">
        <f>IF(C49=0,"",ROUND(D49/C49,0))</f>
        <v/>
      </c>
      <c r="F49" s="7" t="inlineStr">
        <is>
          <t>SRi VX-Line</t>
        </is>
      </c>
      <c r="G49" s="7" t="inlineStr">
        <is>
          <t>Petrol</t>
        </is>
      </c>
      <c r="H49" s="7" t="inlineStr">
        <is>
          <t>Manual</t>
        </is>
      </c>
      <c r="I49" s="7" t="inlineStr">
        <is>
          <t>1.2</t>
        </is>
      </c>
      <c r="J49" s="7" t="inlineStr">
        <is>
          <t>Hatchback</t>
        </is>
      </c>
      <c r="K49" s="8" t="n">
        <v>6</v>
      </c>
      <c r="L49" s="7" t="inlineStr">
        <is>
          <t>None</t>
        </is>
      </c>
      <c r="M49" s="7" t="inlineStr">
        <is>
          <t>Private</t>
        </is>
      </c>
      <c r="N49" s="7" t="inlineStr">
        <is>
          <t>Excellent</t>
        </is>
      </c>
      <c r="O49" s="7" t="inlineStr">
        <is>
          <t>Wales</t>
        </is>
      </c>
      <c r="P49" s="9" t="n">
        <v>23000</v>
      </c>
      <c r="Q49" s="9" t="n">
        <v>5960</v>
      </c>
      <c r="R49" s="10">
        <f>Q49/P49</f>
        <v/>
      </c>
    </row>
    <row r="50">
      <c r="A50" s="7" t="inlineStr">
        <is>
          <t>AST-049</t>
        </is>
      </c>
      <c r="B50" s="8" t="n">
        <v>2021</v>
      </c>
      <c r="C50" s="8">
        <f>Calibration!$B$3-B50</f>
        <v/>
      </c>
      <c r="D50" s="9" t="n">
        <v>68767</v>
      </c>
      <c r="E50" s="9">
        <f>IF(C50=0,"",ROUND(D50/C50,0))</f>
        <v/>
      </c>
      <c r="F50" s="7" t="inlineStr">
        <is>
          <t>Design</t>
        </is>
      </c>
      <c r="G50" s="7" t="inlineStr">
        <is>
          <t>Diesel</t>
        </is>
      </c>
      <c r="H50" s="7" t="inlineStr">
        <is>
          <t>Automatic</t>
        </is>
      </c>
      <c r="I50" s="7" t="inlineStr">
        <is>
          <t>1.5</t>
        </is>
      </c>
      <c r="J50" s="7" t="inlineStr">
        <is>
          <t>Hatchback</t>
        </is>
      </c>
      <c r="K50" s="8" t="n">
        <v>3</v>
      </c>
      <c r="L50" s="7" t="inlineStr">
        <is>
          <t>Partial</t>
        </is>
      </c>
      <c r="M50" s="7" t="inlineStr">
        <is>
          <t>Independent dealer</t>
        </is>
      </c>
      <c r="N50" s="7" t="inlineStr">
        <is>
          <t>Good</t>
        </is>
      </c>
      <c r="O50" s="7" t="inlineStr">
        <is>
          <t>Wales</t>
        </is>
      </c>
      <c r="P50" s="9" t="n">
        <v>23000</v>
      </c>
      <c r="Q50" s="9" t="n">
        <v>8460</v>
      </c>
      <c r="R50" s="10">
        <f>Q50/P50</f>
        <v/>
      </c>
    </row>
    <row r="51">
      <c r="A51" s="7" t="inlineStr">
        <is>
          <t>AST-050</t>
        </is>
      </c>
      <c r="B51" s="8" t="n">
        <v>2021</v>
      </c>
      <c r="C51" s="8">
        <f>Calibration!$B$3-B51</f>
        <v/>
      </c>
      <c r="D51" s="9" t="n">
        <v>29468</v>
      </c>
      <c r="E51" s="9">
        <f>IF(C51=0,"",ROUND(D51/C51,0))</f>
        <v/>
      </c>
      <c r="F51" s="7" t="inlineStr">
        <is>
          <t>Ultimate</t>
        </is>
      </c>
      <c r="G51" s="7" t="inlineStr">
        <is>
          <t>Diesel</t>
        </is>
      </c>
      <c r="H51" s="7" t="inlineStr">
        <is>
          <t>Manual</t>
        </is>
      </c>
      <c r="I51" s="7" t="inlineStr">
        <is>
          <t>1.2</t>
        </is>
      </c>
      <c r="J51" s="7" t="inlineStr">
        <is>
          <t>Sports Tourer</t>
        </is>
      </c>
      <c r="K51" s="8" t="n">
        <v>5</v>
      </c>
      <c r="L51" s="7" t="inlineStr">
        <is>
          <t>None</t>
        </is>
      </c>
      <c r="M51" s="7" t="inlineStr">
        <is>
          <t>Independent dealer</t>
        </is>
      </c>
      <c r="N51" s="7" t="inlineStr">
        <is>
          <t>Fair</t>
        </is>
      </c>
      <c r="O51" s="7" t="inlineStr">
        <is>
          <t>London</t>
        </is>
      </c>
      <c r="P51" s="9" t="n">
        <v>23000</v>
      </c>
      <c r="Q51" s="9" t="n">
        <v>8360</v>
      </c>
      <c r="R51" s="10">
        <f>Q51/P51</f>
        <v/>
      </c>
    </row>
    <row r="52">
      <c r="A52" s="7" t="inlineStr">
        <is>
          <t>AST-051</t>
        </is>
      </c>
      <c r="B52" s="8" t="n">
        <v>2021</v>
      </c>
      <c r="C52" s="8">
        <f>Calibration!$B$3-B52</f>
        <v/>
      </c>
      <c r="D52" s="9" t="n">
        <v>98187</v>
      </c>
      <c r="E52" s="9">
        <f>IF(C52=0,"",ROUND(D52/C52,0))</f>
        <v/>
      </c>
      <c r="F52" s="7" t="inlineStr">
        <is>
          <t>Elite Nav</t>
        </is>
      </c>
      <c r="G52" s="7" t="inlineStr">
        <is>
          <t>Petrol</t>
        </is>
      </c>
      <c r="H52" s="7" t="inlineStr">
        <is>
          <t>Manual</t>
        </is>
      </c>
      <c r="I52" s="7" t="inlineStr">
        <is>
          <t>1.5</t>
        </is>
      </c>
      <c r="J52" s="7" t="inlineStr">
        <is>
          <t>Sports Tourer</t>
        </is>
      </c>
      <c r="K52" s="8" t="n">
        <v>2</v>
      </c>
      <c r="L52" s="7" t="inlineStr">
        <is>
          <t>None</t>
        </is>
      </c>
      <c r="M52" s="7" t="inlineStr">
        <is>
          <t>Franchise dealer</t>
        </is>
      </c>
      <c r="N52" s="7" t="inlineStr">
        <is>
          <t>Good</t>
        </is>
      </c>
      <c r="O52" s="7" t="inlineStr">
        <is>
          <t>North East</t>
        </is>
      </c>
      <c r="P52" s="9" t="n">
        <v>23000</v>
      </c>
      <c r="Q52" s="9" t="n">
        <v>7440</v>
      </c>
      <c r="R52" s="10">
        <f>Q52/P52</f>
        <v/>
      </c>
    </row>
    <row r="53">
      <c r="A53" s="7" t="inlineStr">
        <is>
          <t>AST-052</t>
        </is>
      </c>
      <c r="B53" s="8" t="n">
        <v>2021</v>
      </c>
      <c r="C53" s="8">
        <f>Calibration!$B$3-B53</f>
        <v/>
      </c>
      <c r="D53" s="9" t="n">
        <v>43114</v>
      </c>
      <c r="E53" s="9">
        <f>IF(C53=0,"",ROUND(D53/C53,0))</f>
        <v/>
      </c>
      <c r="F53" s="7" t="inlineStr">
        <is>
          <t>Ultimate</t>
        </is>
      </c>
      <c r="G53" s="7" t="inlineStr">
        <is>
          <t>Diesel</t>
        </is>
      </c>
      <c r="H53" s="7" t="inlineStr">
        <is>
          <t>Manual</t>
        </is>
      </c>
      <c r="I53" s="7" t="inlineStr">
        <is>
          <t>1.5</t>
        </is>
      </c>
      <c r="J53" s="7" t="inlineStr">
        <is>
          <t>Hatchback</t>
        </is>
      </c>
      <c r="K53" s="8" t="n">
        <v>2</v>
      </c>
      <c r="L53" s="7" t="inlineStr">
        <is>
          <t>Full</t>
        </is>
      </c>
      <c r="M53" s="7" t="inlineStr">
        <is>
          <t>Private</t>
        </is>
      </c>
      <c r="N53" s="7" t="inlineStr">
        <is>
          <t>Excellent</t>
        </is>
      </c>
      <c r="O53" s="7" t="inlineStr">
        <is>
          <t>Yorkshire</t>
        </is>
      </c>
      <c r="P53" s="9" t="n">
        <v>23000</v>
      </c>
      <c r="Q53" s="9" t="n">
        <v>9200</v>
      </c>
      <c r="R53" s="10">
        <f>Q53/P53</f>
        <v/>
      </c>
    </row>
    <row r="54">
      <c r="A54" s="7" t="inlineStr">
        <is>
          <t>AST-053</t>
        </is>
      </c>
      <c r="B54" s="8" t="n">
        <v>2021</v>
      </c>
      <c r="C54" s="8">
        <f>Calibration!$B$3-B54</f>
        <v/>
      </c>
      <c r="D54" s="9" t="n">
        <v>59864</v>
      </c>
      <c r="E54" s="9">
        <f>IF(C54=0,"",ROUND(D54/C54,0))</f>
        <v/>
      </c>
      <c r="F54" s="7" t="inlineStr">
        <is>
          <t>Design</t>
        </is>
      </c>
      <c r="G54" s="7" t="inlineStr">
        <is>
          <t>Petrol</t>
        </is>
      </c>
      <c r="H54" s="7" t="inlineStr">
        <is>
          <t>Manual</t>
        </is>
      </c>
      <c r="I54" s="7" t="inlineStr">
        <is>
          <t>1.5</t>
        </is>
      </c>
      <c r="J54" s="7" t="inlineStr">
        <is>
          <t>Hatchback</t>
        </is>
      </c>
      <c r="K54" s="8" t="n">
        <v>1</v>
      </c>
      <c r="L54" s="7" t="inlineStr">
        <is>
          <t>Partial</t>
        </is>
      </c>
      <c r="M54" s="7" t="inlineStr">
        <is>
          <t>Independent dealer</t>
        </is>
      </c>
      <c r="N54" s="7" t="inlineStr">
        <is>
          <t>Excellent</t>
        </is>
      </c>
      <c r="O54" s="7" t="inlineStr">
        <is>
          <t>South East</t>
        </is>
      </c>
      <c r="P54" s="9" t="n">
        <v>23000</v>
      </c>
      <c r="Q54" s="9" t="n">
        <v>8690</v>
      </c>
      <c r="R54" s="10">
        <f>Q54/P54</f>
        <v/>
      </c>
    </row>
    <row r="55">
      <c r="A55" s="7" t="inlineStr">
        <is>
          <t>AST-054</t>
        </is>
      </c>
      <c r="B55" s="8" t="n">
        <v>2021</v>
      </c>
      <c r="C55" s="8">
        <f>Calibration!$B$3-B55</f>
        <v/>
      </c>
      <c r="D55" s="9" t="n">
        <v>90975</v>
      </c>
      <c r="E55" s="9">
        <f>IF(C55=0,"",ROUND(D55/C55,0))</f>
        <v/>
      </c>
      <c r="F55" s="7" t="inlineStr">
        <is>
          <t>Design</t>
        </is>
      </c>
      <c r="G55" s="7" t="inlineStr">
        <is>
          <t>Petrol</t>
        </is>
      </c>
      <c r="H55" s="7" t="inlineStr">
        <is>
          <t>Manual</t>
        </is>
      </c>
      <c r="I55" s="7" t="inlineStr">
        <is>
          <t>1.5</t>
        </is>
      </c>
      <c r="J55" s="7" t="inlineStr">
        <is>
          <t>Hatchback</t>
        </is>
      </c>
      <c r="K55" s="8" t="n">
        <v>5</v>
      </c>
      <c r="L55" s="7" t="inlineStr">
        <is>
          <t>Full</t>
        </is>
      </c>
      <c r="M55" s="7" t="inlineStr">
        <is>
          <t>Private</t>
        </is>
      </c>
      <c r="N55" s="7" t="inlineStr">
        <is>
          <t>Fair</t>
        </is>
      </c>
      <c r="O55" s="7" t="inlineStr">
        <is>
          <t>South West</t>
        </is>
      </c>
      <c r="P55" s="9" t="n">
        <v>23000</v>
      </c>
      <c r="Q55" s="9" t="n">
        <v>6010</v>
      </c>
      <c r="R55" s="10">
        <f>Q55/P55</f>
        <v/>
      </c>
    </row>
    <row r="56">
      <c r="A56" s="7" t="inlineStr">
        <is>
          <t>AST-055</t>
        </is>
      </c>
      <c r="B56" s="8" t="n">
        <v>2021</v>
      </c>
      <c r="C56" s="8">
        <f>Calibration!$B$3-B56</f>
        <v/>
      </c>
      <c r="D56" s="9" t="n">
        <v>57664</v>
      </c>
      <c r="E56" s="9">
        <f>IF(C56=0,"",ROUND(D56/C56,0))</f>
        <v/>
      </c>
      <c r="F56" s="7" t="inlineStr">
        <is>
          <t>Design</t>
        </is>
      </c>
      <c r="G56" s="7" t="inlineStr">
        <is>
          <t>Petrol</t>
        </is>
      </c>
      <c r="H56" s="7" t="inlineStr">
        <is>
          <t>Manual</t>
        </is>
      </c>
      <c r="I56" s="7" t="inlineStr">
        <is>
          <t>1.6</t>
        </is>
      </c>
      <c r="J56" s="7" t="inlineStr">
        <is>
          <t>Hatchback</t>
        </is>
      </c>
      <c r="K56" s="8" t="n">
        <v>2</v>
      </c>
      <c r="L56" s="7" t="inlineStr">
        <is>
          <t>Full</t>
        </is>
      </c>
      <c r="M56" s="7" t="inlineStr">
        <is>
          <t>Franchise dealer</t>
        </is>
      </c>
      <c r="N56" s="7" t="inlineStr">
        <is>
          <t>Good</t>
        </is>
      </c>
      <c r="O56" s="7" t="inlineStr">
        <is>
          <t>West Midlands</t>
        </is>
      </c>
      <c r="P56" s="9" t="n">
        <v>23000</v>
      </c>
      <c r="Q56" s="9" t="n">
        <v>9365</v>
      </c>
      <c r="R56" s="10">
        <f>Q56/P56</f>
        <v/>
      </c>
    </row>
    <row r="57">
      <c r="A57" s="7" t="inlineStr">
        <is>
          <t>AST-056</t>
        </is>
      </c>
      <c r="B57" s="8" t="n">
        <v>2021</v>
      </c>
      <c r="C57" s="8">
        <f>Calibration!$B$3-B57</f>
        <v/>
      </c>
      <c r="D57" s="9" t="n">
        <v>89959</v>
      </c>
      <c r="E57" s="9">
        <f>IF(C57=0,"",ROUND(D57/C57,0))</f>
        <v/>
      </c>
      <c r="F57" s="7" t="inlineStr">
        <is>
          <t>SRi VX-Line</t>
        </is>
      </c>
      <c r="G57" s="7" t="inlineStr">
        <is>
          <t>Petrol</t>
        </is>
      </c>
      <c r="H57" s="7" t="inlineStr">
        <is>
          <t>Automatic</t>
        </is>
      </c>
      <c r="I57" s="7" t="inlineStr">
        <is>
          <t>1.2</t>
        </is>
      </c>
      <c r="J57" s="7" t="inlineStr">
        <is>
          <t>Hatchback</t>
        </is>
      </c>
      <c r="K57" s="8" t="n">
        <v>1</v>
      </c>
      <c r="L57" s="7" t="inlineStr">
        <is>
          <t>None</t>
        </is>
      </c>
      <c r="M57" s="7" t="inlineStr">
        <is>
          <t>Private</t>
        </is>
      </c>
      <c r="N57" s="7" t="inlineStr">
        <is>
          <t>Excellent</t>
        </is>
      </c>
      <c r="O57" s="7" t="inlineStr">
        <is>
          <t>East of England</t>
        </is>
      </c>
      <c r="P57" s="9" t="n">
        <v>23000</v>
      </c>
      <c r="Q57" s="9" t="n">
        <v>7250</v>
      </c>
      <c r="R57" s="10">
        <f>Q57/P57</f>
        <v/>
      </c>
    </row>
    <row r="58">
      <c r="A58" s="7" t="inlineStr">
        <is>
          <t>AST-057</t>
        </is>
      </c>
      <c r="B58" s="8" t="n">
        <v>2021</v>
      </c>
      <c r="C58" s="8">
        <f>Calibration!$B$3-B58</f>
        <v/>
      </c>
      <c r="D58" s="9" t="n">
        <v>97381</v>
      </c>
      <c r="E58" s="9">
        <f>IF(C58=0,"",ROUND(D58/C58,0))</f>
        <v/>
      </c>
      <c r="F58" s="7" t="inlineStr">
        <is>
          <t>SRi VX-Line</t>
        </is>
      </c>
      <c r="G58" s="7" t="inlineStr">
        <is>
          <t>Petrol</t>
        </is>
      </c>
      <c r="H58" s="7" t="inlineStr">
        <is>
          <t>Manual</t>
        </is>
      </c>
      <c r="I58" s="7" t="inlineStr">
        <is>
          <t>1.4</t>
        </is>
      </c>
      <c r="J58" s="7" t="inlineStr">
        <is>
          <t>Sports Tourer</t>
        </is>
      </c>
      <c r="K58" s="8" t="n">
        <v>1</v>
      </c>
      <c r="L58" s="7" t="inlineStr">
        <is>
          <t>Full</t>
        </is>
      </c>
      <c r="M58" s="7" t="inlineStr">
        <is>
          <t>Franchise dealer</t>
        </is>
      </c>
      <c r="N58" s="7" t="inlineStr">
        <is>
          <t>Good</t>
        </is>
      </c>
      <c r="O58" s="7" t="inlineStr">
        <is>
          <t>Scotland</t>
        </is>
      </c>
      <c r="P58" s="9" t="n">
        <v>23000</v>
      </c>
      <c r="Q58" s="9" t="n">
        <v>8395</v>
      </c>
      <c r="R58" s="10">
        <f>Q58/P58</f>
        <v/>
      </c>
    </row>
    <row r="59">
      <c r="A59" s="7" t="inlineStr">
        <is>
          <t>AST-058</t>
        </is>
      </c>
      <c r="B59" s="8" t="n">
        <v>2021</v>
      </c>
      <c r="C59" s="8">
        <f>Calibration!$B$3-B59</f>
        <v/>
      </c>
      <c r="D59" s="9" t="n">
        <v>95964</v>
      </c>
      <c r="E59" s="9">
        <f>IF(C59=0,"",ROUND(D59/C59,0))</f>
        <v/>
      </c>
      <c r="F59" s="7" t="inlineStr">
        <is>
          <t>Design</t>
        </is>
      </c>
      <c r="G59" s="7" t="inlineStr">
        <is>
          <t>Petrol</t>
        </is>
      </c>
      <c r="H59" s="7" t="inlineStr">
        <is>
          <t>Manual</t>
        </is>
      </c>
      <c r="I59" s="7" t="inlineStr">
        <is>
          <t>1.2</t>
        </is>
      </c>
      <c r="J59" s="7" t="inlineStr">
        <is>
          <t>Hatchback</t>
        </is>
      </c>
      <c r="K59" s="8" t="n">
        <v>4</v>
      </c>
      <c r="L59" s="7" t="inlineStr">
        <is>
          <t>Full</t>
        </is>
      </c>
      <c r="M59" s="7" t="inlineStr">
        <is>
          <t>Franchise dealer</t>
        </is>
      </c>
      <c r="N59" s="7" t="inlineStr">
        <is>
          <t>Good</t>
        </is>
      </c>
      <c r="O59" s="7" t="inlineStr">
        <is>
          <t>Wales</t>
        </is>
      </c>
      <c r="P59" s="9" t="n">
        <v>23000</v>
      </c>
      <c r="Q59" s="9" t="n">
        <v>7535</v>
      </c>
      <c r="R59" s="10">
        <f>Q59/P59</f>
        <v/>
      </c>
    </row>
    <row r="60">
      <c r="A60" s="7" t="inlineStr">
        <is>
          <t>AST-059</t>
        </is>
      </c>
      <c r="B60" s="8" t="n">
        <v>2021</v>
      </c>
      <c r="C60" s="8">
        <f>Calibration!$B$3-B60</f>
        <v/>
      </c>
      <c r="D60" s="9" t="n">
        <v>77994</v>
      </c>
      <c r="E60" s="9">
        <f>IF(C60=0,"",ROUND(D60/C60,0))</f>
        <v/>
      </c>
      <c r="F60" s="7" t="inlineStr">
        <is>
          <t>Design</t>
        </is>
      </c>
      <c r="G60" s="7" t="inlineStr">
        <is>
          <t>Diesel</t>
        </is>
      </c>
      <c r="H60" s="7" t="inlineStr">
        <is>
          <t>Automatic</t>
        </is>
      </c>
      <c r="I60" s="7" t="inlineStr">
        <is>
          <t>1.2</t>
        </is>
      </c>
      <c r="J60" s="7" t="inlineStr">
        <is>
          <t>Hatchback</t>
        </is>
      </c>
      <c r="K60" s="8" t="n">
        <v>3</v>
      </c>
      <c r="L60" s="7" t="inlineStr">
        <is>
          <t>Full</t>
        </is>
      </c>
      <c r="M60" s="7" t="inlineStr">
        <is>
          <t>Franchise dealer</t>
        </is>
      </c>
      <c r="N60" s="7" t="inlineStr">
        <is>
          <t>Excellent</t>
        </is>
      </c>
      <c r="O60" s="7" t="inlineStr">
        <is>
          <t>West Midlands</t>
        </is>
      </c>
      <c r="P60" s="9" t="n">
        <v>23000</v>
      </c>
      <c r="Q60" s="9" t="n">
        <v>8270</v>
      </c>
      <c r="R60" s="10">
        <f>Q60/P60</f>
        <v/>
      </c>
    </row>
    <row r="61">
      <c r="A61" s="7" t="inlineStr">
        <is>
          <t>AST-060</t>
        </is>
      </c>
      <c r="B61" s="8" t="n">
        <v>2021</v>
      </c>
      <c r="C61" s="8">
        <f>Calibration!$B$3-B61</f>
        <v/>
      </c>
      <c r="D61" s="9" t="n">
        <v>59572</v>
      </c>
      <c r="E61" s="9">
        <f>IF(C61=0,"",ROUND(D61/C61,0))</f>
        <v/>
      </c>
      <c r="F61" s="7" t="inlineStr">
        <is>
          <t>SRi VX-Line</t>
        </is>
      </c>
      <c r="G61" s="7" t="inlineStr">
        <is>
          <t>Petrol</t>
        </is>
      </c>
      <c r="H61" s="7" t="inlineStr">
        <is>
          <t>Manual</t>
        </is>
      </c>
      <c r="I61" s="7" t="inlineStr">
        <is>
          <t>1.4</t>
        </is>
      </c>
      <c r="J61" s="7" t="inlineStr">
        <is>
          <t>Sports Tourer</t>
        </is>
      </c>
      <c r="K61" s="8" t="n">
        <v>5</v>
      </c>
      <c r="L61" s="7" t="inlineStr">
        <is>
          <t>Full</t>
        </is>
      </c>
      <c r="M61" s="7" t="inlineStr">
        <is>
          <t>Private</t>
        </is>
      </c>
      <c r="N61" s="7" t="inlineStr">
        <is>
          <t>Good</t>
        </is>
      </c>
      <c r="O61" s="7" t="inlineStr">
        <is>
          <t>Scotland</t>
        </is>
      </c>
      <c r="P61" s="9" t="n">
        <v>23000</v>
      </c>
      <c r="Q61" s="9" t="n">
        <v>7805</v>
      </c>
      <c r="R61" s="10">
        <f>Q61/P61</f>
        <v/>
      </c>
    </row>
    <row r="62">
      <c r="A62" s="7" t="inlineStr">
        <is>
          <t>AST-061</t>
        </is>
      </c>
      <c r="B62" s="8" t="n">
        <v>2020</v>
      </c>
      <c r="C62" s="8">
        <f>Calibration!$B$3-B62</f>
        <v/>
      </c>
      <c r="D62" s="9" t="n">
        <v>120559</v>
      </c>
      <c r="E62" s="9">
        <f>IF(C62=0,"",ROUND(D62/C62,0))</f>
        <v/>
      </c>
      <c r="F62" s="7" t="inlineStr">
        <is>
          <t>Design</t>
        </is>
      </c>
      <c r="G62" s="7" t="inlineStr">
        <is>
          <t>Petrol</t>
        </is>
      </c>
      <c r="H62" s="7" t="inlineStr">
        <is>
          <t>Automatic</t>
        </is>
      </c>
      <c r="I62" s="7" t="inlineStr">
        <is>
          <t>1.2</t>
        </is>
      </c>
      <c r="J62" s="7" t="inlineStr">
        <is>
          <t>Hatchback</t>
        </is>
      </c>
      <c r="K62" s="8" t="n">
        <v>4</v>
      </c>
      <c r="L62" s="7" t="inlineStr">
        <is>
          <t>Partial</t>
        </is>
      </c>
      <c r="M62" s="7" t="inlineStr">
        <is>
          <t>Franchise dealer</t>
        </is>
      </c>
      <c r="N62" s="7" t="inlineStr">
        <is>
          <t>Good</t>
        </is>
      </c>
      <c r="O62" s="7" t="inlineStr">
        <is>
          <t>North West</t>
        </is>
      </c>
      <c r="P62" s="9" t="n">
        <v>22000</v>
      </c>
      <c r="Q62" s="9" t="n">
        <v>5935</v>
      </c>
      <c r="R62" s="10">
        <f>Q62/P62</f>
        <v/>
      </c>
    </row>
    <row r="63">
      <c r="A63" s="7" t="inlineStr">
        <is>
          <t>AST-062</t>
        </is>
      </c>
      <c r="B63" s="8" t="n">
        <v>2020</v>
      </c>
      <c r="C63" s="8">
        <f>Calibration!$B$3-B63</f>
        <v/>
      </c>
      <c r="D63" s="9" t="n">
        <v>52766</v>
      </c>
      <c r="E63" s="9">
        <f>IF(C63=0,"",ROUND(D63/C63,0))</f>
        <v/>
      </c>
      <c r="F63" s="7" t="inlineStr">
        <is>
          <t>Elite Nav</t>
        </is>
      </c>
      <c r="G63" s="7" t="inlineStr">
        <is>
          <t>Diesel</t>
        </is>
      </c>
      <c r="H63" s="7" t="inlineStr">
        <is>
          <t>Manual</t>
        </is>
      </c>
      <c r="I63" s="7" t="inlineStr">
        <is>
          <t>1.2</t>
        </is>
      </c>
      <c r="J63" s="7" t="inlineStr">
        <is>
          <t>Sports Tourer</t>
        </is>
      </c>
      <c r="K63" s="8" t="n">
        <v>4</v>
      </c>
      <c r="L63" s="7" t="inlineStr">
        <is>
          <t>Full</t>
        </is>
      </c>
      <c r="M63" s="7" t="inlineStr">
        <is>
          <t>Independent dealer</t>
        </is>
      </c>
      <c r="N63" s="7" t="inlineStr">
        <is>
          <t>Good</t>
        </is>
      </c>
      <c r="O63" s="7" t="inlineStr">
        <is>
          <t>South East</t>
        </is>
      </c>
      <c r="P63" s="9" t="n">
        <v>22000</v>
      </c>
      <c r="Q63" s="9" t="n">
        <v>8040</v>
      </c>
      <c r="R63" s="10">
        <f>Q63/P63</f>
        <v/>
      </c>
    </row>
    <row r="64">
      <c r="A64" s="7" t="inlineStr">
        <is>
          <t>AST-063</t>
        </is>
      </c>
      <c r="B64" s="8" t="n">
        <v>2020</v>
      </c>
      <c r="C64" s="8">
        <f>Calibration!$B$3-B64</f>
        <v/>
      </c>
      <c r="D64" s="9" t="n">
        <v>30225</v>
      </c>
      <c r="E64" s="9">
        <f>IF(C64=0,"",ROUND(D64/C64,0))</f>
        <v/>
      </c>
      <c r="F64" s="7" t="inlineStr">
        <is>
          <t>SRi VX-Line</t>
        </is>
      </c>
      <c r="G64" s="7" t="inlineStr">
        <is>
          <t>Petrol</t>
        </is>
      </c>
      <c r="H64" s="7" t="inlineStr">
        <is>
          <t>Automatic</t>
        </is>
      </c>
      <c r="I64" s="7" t="inlineStr">
        <is>
          <t>1.2</t>
        </is>
      </c>
      <c r="J64" s="7" t="inlineStr">
        <is>
          <t>Sports Tourer</t>
        </is>
      </c>
      <c r="K64" s="8" t="n">
        <v>2</v>
      </c>
      <c r="L64" s="7" t="inlineStr">
        <is>
          <t>Full</t>
        </is>
      </c>
      <c r="M64" s="7" t="inlineStr">
        <is>
          <t>Private</t>
        </is>
      </c>
      <c r="N64" s="7" t="inlineStr">
        <is>
          <t>Good</t>
        </is>
      </c>
      <c r="O64" s="7" t="inlineStr">
        <is>
          <t>Wales</t>
        </is>
      </c>
      <c r="P64" s="9" t="n">
        <v>22000</v>
      </c>
      <c r="Q64" s="9" t="n">
        <v>9550</v>
      </c>
      <c r="R64" s="10">
        <f>Q64/P64</f>
        <v/>
      </c>
    </row>
    <row r="65">
      <c r="A65" s="7" t="inlineStr">
        <is>
          <t>AST-064</t>
        </is>
      </c>
      <c r="B65" s="8" t="n">
        <v>2020</v>
      </c>
      <c r="C65" s="8">
        <f>Calibration!$B$3-B65</f>
        <v/>
      </c>
      <c r="D65" s="9" t="n">
        <v>109062</v>
      </c>
      <c r="E65" s="9">
        <f>IF(C65=0,"",ROUND(D65/C65,0))</f>
        <v/>
      </c>
      <c r="F65" s="7" t="inlineStr">
        <is>
          <t>Design</t>
        </is>
      </c>
      <c r="G65" s="7" t="inlineStr">
        <is>
          <t>Petrol</t>
        </is>
      </c>
      <c r="H65" s="7" t="inlineStr">
        <is>
          <t>Manual</t>
        </is>
      </c>
      <c r="I65" s="7" t="inlineStr">
        <is>
          <t>1.5</t>
        </is>
      </c>
      <c r="J65" s="7" t="inlineStr">
        <is>
          <t>Hatchback</t>
        </is>
      </c>
      <c r="K65" s="8" t="n">
        <v>4</v>
      </c>
      <c r="L65" s="7" t="inlineStr">
        <is>
          <t>Full</t>
        </is>
      </c>
      <c r="M65" s="7" t="inlineStr">
        <is>
          <t>Private</t>
        </is>
      </c>
      <c r="N65" s="7" t="inlineStr">
        <is>
          <t>Good</t>
        </is>
      </c>
      <c r="O65" s="7" t="inlineStr">
        <is>
          <t>Yorkshire</t>
        </is>
      </c>
      <c r="P65" s="9" t="n">
        <v>22000</v>
      </c>
      <c r="Q65" s="9" t="n">
        <v>4895</v>
      </c>
      <c r="R65" s="10">
        <f>Q65/P65</f>
        <v/>
      </c>
    </row>
    <row r="66">
      <c r="A66" s="7" t="inlineStr">
        <is>
          <t>AST-065</t>
        </is>
      </c>
      <c r="B66" s="8" t="n">
        <v>2020</v>
      </c>
      <c r="C66" s="8">
        <f>Calibration!$B$3-B66</f>
        <v/>
      </c>
      <c r="D66" s="9" t="n">
        <v>77957</v>
      </c>
      <c r="E66" s="9">
        <f>IF(C66=0,"",ROUND(D66/C66,0))</f>
        <v/>
      </c>
      <c r="F66" s="7" t="inlineStr">
        <is>
          <t>Elite Nav</t>
        </is>
      </c>
      <c r="G66" s="7" t="inlineStr">
        <is>
          <t>Petrol</t>
        </is>
      </c>
      <c r="H66" s="7" t="inlineStr">
        <is>
          <t>Automatic</t>
        </is>
      </c>
      <c r="I66" s="7" t="inlineStr">
        <is>
          <t>1.2</t>
        </is>
      </c>
      <c r="J66" s="7" t="inlineStr">
        <is>
          <t>Sports Tourer</t>
        </is>
      </c>
      <c r="K66" s="8" t="n">
        <v>2</v>
      </c>
      <c r="L66" s="7" t="inlineStr">
        <is>
          <t>Full</t>
        </is>
      </c>
      <c r="M66" s="7" t="inlineStr">
        <is>
          <t>Independent dealer</t>
        </is>
      </c>
      <c r="N66" s="7" t="inlineStr">
        <is>
          <t>Good</t>
        </is>
      </c>
      <c r="O66" s="7" t="inlineStr">
        <is>
          <t>South West</t>
        </is>
      </c>
      <c r="P66" s="9" t="n">
        <v>22000</v>
      </c>
      <c r="Q66" s="9" t="n">
        <v>8640</v>
      </c>
      <c r="R66" s="10">
        <f>Q66/P66</f>
        <v/>
      </c>
    </row>
    <row r="67">
      <c r="A67" s="7" t="inlineStr">
        <is>
          <t>AST-066</t>
        </is>
      </c>
      <c r="B67" s="8" t="n">
        <v>2020</v>
      </c>
      <c r="C67" s="8">
        <f>Calibration!$B$3-B67</f>
        <v/>
      </c>
      <c r="D67" s="9" t="n">
        <v>29239</v>
      </c>
      <c r="E67" s="9">
        <f>IF(C67=0,"",ROUND(D67/C67,0))</f>
        <v/>
      </c>
      <c r="F67" s="7" t="inlineStr">
        <is>
          <t>Ultimate</t>
        </is>
      </c>
      <c r="G67" s="7" t="inlineStr">
        <is>
          <t>Petrol</t>
        </is>
      </c>
      <c r="H67" s="7" t="inlineStr">
        <is>
          <t>Automatic</t>
        </is>
      </c>
      <c r="I67" s="7" t="inlineStr">
        <is>
          <t>1.2</t>
        </is>
      </c>
      <c r="J67" s="7" t="inlineStr">
        <is>
          <t>Hatchback</t>
        </is>
      </c>
      <c r="K67" s="8" t="n">
        <v>2</v>
      </c>
      <c r="L67" s="7" t="inlineStr">
        <is>
          <t>Full</t>
        </is>
      </c>
      <c r="M67" s="7" t="inlineStr">
        <is>
          <t>Independent dealer</t>
        </is>
      </c>
      <c r="N67" s="7" t="inlineStr">
        <is>
          <t>Good</t>
        </is>
      </c>
      <c r="O67" s="7" t="inlineStr">
        <is>
          <t>Yorkshire</t>
        </is>
      </c>
      <c r="P67" s="9" t="n">
        <v>22000</v>
      </c>
      <c r="Q67" s="9" t="n">
        <v>10520</v>
      </c>
      <c r="R67" s="10">
        <f>Q67/P67</f>
        <v/>
      </c>
    </row>
    <row r="68">
      <c r="A68" s="7" t="inlineStr">
        <is>
          <t>AST-067</t>
        </is>
      </c>
      <c r="B68" s="8" t="n">
        <v>2020</v>
      </c>
      <c r="C68" s="8">
        <f>Calibration!$B$3-B68</f>
        <v/>
      </c>
      <c r="D68" s="9" t="n">
        <v>57142</v>
      </c>
      <c r="E68" s="9">
        <f>IF(C68=0,"",ROUND(D68/C68,0))</f>
        <v/>
      </c>
      <c r="F68" s="7" t="inlineStr">
        <is>
          <t>Elite Nav</t>
        </is>
      </c>
      <c r="G68" s="7" t="inlineStr">
        <is>
          <t>Diesel</t>
        </is>
      </c>
      <c r="H68" s="7" t="inlineStr">
        <is>
          <t>Manual</t>
        </is>
      </c>
      <c r="I68" s="7" t="inlineStr">
        <is>
          <t>1.5</t>
        </is>
      </c>
      <c r="J68" s="7" t="inlineStr">
        <is>
          <t>Hatchback</t>
        </is>
      </c>
      <c r="K68" s="8" t="n">
        <v>3</v>
      </c>
      <c r="L68" s="7" t="inlineStr">
        <is>
          <t>Full</t>
        </is>
      </c>
      <c r="M68" s="7" t="inlineStr">
        <is>
          <t>Independent dealer</t>
        </is>
      </c>
      <c r="N68" s="7" t="inlineStr">
        <is>
          <t>Excellent</t>
        </is>
      </c>
      <c r="O68" s="7" t="inlineStr">
        <is>
          <t>Yorkshire</t>
        </is>
      </c>
      <c r="P68" s="9" t="n">
        <v>22000</v>
      </c>
      <c r="Q68" s="9" t="n">
        <v>8775</v>
      </c>
      <c r="R68" s="10">
        <f>Q68/P68</f>
        <v/>
      </c>
    </row>
    <row r="69">
      <c r="A69" s="7" t="inlineStr">
        <is>
          <t>AST-068</t>
        </is>
      </c>
      <c r="B69" s="8" t="n">
        <v>2020</v>
      </c>
      <c r="C69" s="8">
        <f>Calibration!$B$3-B69</f>
        <v/>
      </c>
      <c r="D69" s="9" t="n">
        <v>31154</v>
      </c>
      <c r="E69" s="9">
        <f>IF(C69=0,"",ROUND(D69/C69,0))</f>
        <v/>
      </c>
      <c r="F69" s="7" t="inlineStr">
        <is>
          <t>Design</t>
        </is>
      </c>
      <c r="G69" s="7" t="inlineStr">
        <is>
          <t>Diesel</t>
        </is>
      </c>
      <c r="H69" s="7" t="inlineStr">
        <is>
          <t>Automatic</t>
        </is>
      </c>
      <c r="I69" s="7" t="inlineStr">
        <is>
          <t>1.2</t>
        </is>
      </c>
      <c r="J69" s="7" t="inlineStr">
        <is>
          <t>Hatchback</t>
        </is>
      </c>
      <c r="K69" s="8" t="n">
        <v>3</v>
      </c>
      <c r="L69" s="7" t="inlineStr">
        <is>
          <t>Full</t>
        </is>
      </c>
      <c r="M69" s="7" t="inlineStr">
        <is>
          <t>Franchise dealer</t>
        </is>
      </c>
      <c r="N69" s="7" t="inlineStr">
        <is>
          <t>Good</t>
        </is>
      </c>
      <c r="O69" s="7" t="inlineStr">
        <is>
          <t>North East</t>
        </is>
      </c>
      <c r="P69" s="9" t="n">
        <v>22000</v>
      </c>
      <c r="Q69" s="9" t="n">
        <v>9115</v>
      </c>
      <c r="R69" s="10">
        <f>Q69/P69</f>
        <v/>
      </c>
    </row>
    <row r="70">
      <c r="A70" s="7" t="inlineStr">
        <is>
          <t>AST-069</t>
        </is>
      </c>
      <c r="B70" s="8" t="n">
        <v>2020</v>
      </c>
      <c r="C70" s="8">
        <f>Calibration!$B$3-B70</f>
        <v/>
      </c>
      <c r="D70" s="9" t="n">
        <v>45661</v>
      </c>
      <c r="E70" s="9">
        <f>IF(C70=0,"",ROUND(D70/C70,0))</f>
        <v/>
      </c>
      <c r="F70" s="7" t="inlineStr">
        <is>
          <t>SRi VX-Line</t>
        </is>
      </c>
      <c r="G70" s="7" t="inlineStr">
        <is>
          <t>Petrol</t>
        </is>
      </c>
      <c r="H70" s="7" t="inlineStr">
        <is>
          <t>Manual</t>
        </is>
      </c>
      <c r="I70" s="7" t="inlineStr">
        <is>
          <t>1.6</t>
        </is>
      </c>
      <c r="J70" s="7" t="inlineStr">
        <is>
          <t>Hatchback</t>
        </is>
      </c>
      <c r="K70" s="8" t="n">
        <v>1</v>
      </c>
      <c r="L70" s="7" t="inlineStr">
        <is>
          <t>Partial</t>
        </is>
      </c>
      <c r="M70" s="7" t="inlineStr">
        <is>
          <t>Independent dealer</t>
        </is>
      </c>
      <c r="N70" s="7" t="inlineStr">
        <is>
          <t>Good</t>
        </is>
      </c>
      <c r="O70" s="7" t="inlineStr">
        <is>
          <t>London</t>
        </is>
      </c>
      <c r="P70" s="9" t="n">
        <v>22000</v>
      </c>
      <c r="Q70" s="9" t="n">
        <v>8860</v>
      </c>
      <c r="R70" s="10">
        <f>Q70/P70</f>
        <v/>
      </c>
    </row>
    <row r="71">
      <c r="A71" s="7" t="inlineStr">
        <is>
          <t>AST-070</t>
        </is>
      </c>
      <c r="B71" s="8" t="n">
        <v>2020</v>
      </c>
      <c r="C71" s="8">
        <f>Calibration!$B$3-B71</f>
        <v/>
      </c>
      <c r="D71" s="9" t="n">
        <v>90123</v>
      </c>
      <c r="E71" s="9">
        <f>IF(C71=0,"",ROUND(D71/C71,0))</f>
        <v/>
      </c>
      <c r="F71" s="7" t="inlineStr">
        <is>
          <t>Elite Nav</t>
        </is>
      </c>
      <c r="G71" s="7" t="inlineStr">
        <is>
          <t>Petrol</t>
        </is>
      </c>
      <c r="H71" s="7" t="inlineStr">
        <is>
          <t>Manual</t>
        </is>
      </c>
      <c r="I71" s="7" t="inlineStr">
        <is>
          <t>1.6</t>
        </is>
      </c>
      <c r="J71" s="7" t="inlineStr">
        <is>
          <t>Hatchback</t>
        </is>
      </c>
      <c r="K71" s="8" t="n">
        <v>2</v>
      </c>
      <c r="L71" s="7" t="inlineStr">
        <is>
          <t>Partial</t>
        </is>
      </c>
      <c r="M71" s="7" t="inlineStr">
        <is>
          <t>Franchise dealer</t>
        </is>
      </c>
      <c r="N71" s="7" t="inlineStr">
        <is>
          <t>Excellent</t>
        </is>
      </c>
      <c r="O71" s="7" t="inlineStr">
        <is>
          <t>Yorkshire</t>
        </is>
      </c>
      <c r="P71" s="9" t="n">
        <v>22000</v>
      </c>
      <c r="Q71" s="9" t="n">
        <v>7790</v>
      </c>
      <c r="R71" s="10">
        <f>Q71/P71</f>
        <v/>
      </c>
    </row>
    <row r="72">
      <c r="A72" s="7" t="inlineStr">
        <is>
          <t>AST-071</t>
        </is>
      </c>
      <c r="B72" s="8" t="n">
        <v>2020</v>
      </c>
      <c r="C72" s="8">
        <f>Calibration!$B$3-B72</f>
        <v/>
      </c>
      <c r="D72" s="9" t="n">
        <v>53902</v>
      </c>
      <c r="E72" s="9">
        <f>IF(C72=0,"",ROUND(D72/C72,0))</f>
        <v/>
      </c>
      <c r="F72" s="7" t="inlineStr">
        <is>
          <t>Elite Nav</t>
        </is>
      </c>
      <c r="G72" s="7" t="inlineStr">
        <is>
          <t>Petrol</t>
        </is>
      </c>
      <c r="H72" s="7" t="inlineStr">
        <is>
          <t>Manual</t>
        </is>
      </c>
      <c r="I72" s="7" t="inlineStr">
        <is>
          <t>1.6</t>
        </is>
      </c>
      <c r="J72" s="7" t="inlineStr">
        <is>
          <t>Hatchback</t>
        </is>
      </c>
      <c r="K72" s="8" t="n">
        <v>4</v>
      </c>
      <c r="L72" s="7" t="inlineStr">
        <is>
          <t>Partial</t>
        </is>
      </c>
      <c r="M72" s="7" t="inlineStr">
        <is>
          <t>Independent dealer</t>
        </is>
      </c>
      <c r="N72" s="7" t="inlineStr">
        <is>
          <t>Good</t>
        </is>
      </c>
      <c r="O72" s="7" t="inlineStr">
        <is>
          <t>Wales</t>
        </is>
      </c>
      <c r="P72" s="9" t="n">
        <v>22000</v>
      </c>
      <c r="Q72" s="9" t="n">
        <v>8015</v>
      </c>
      <c r="R72" s="10">
        <f>Q72/P72</f>
        <v/>
      </c>
    </row>
    <row r="73">
      <c r="A73" s="7" t="inlineStr">
        <is>
          <t>AST-072</t>
        </is>
      </c>
      <c r="B73" s="8" t="n">
        <v>2020</v>
      </c>
      <c r="C73" s="8">
        <f>Calibration!$B$3-B73</f>
        <v/>
      </c>
      <c r="D73" s="9" t="n">
        <v>40335</v>
      </c>
      <c r="E73" s="9">
        <f>IF(C73=0,"",ROUND(D73/C73,0))</f>
        <v/>
      </c>
      <c r="F73" s="7" t="inlineStr">
        <is>
          <t>SRi VX-Line</t>
        </is>
      </c>
      <c r="G73" s="7" t="inlineStr">
        <is>
          <t>Petrol</t>
        </is>
      </c>
      <c r="H73" s="7" t="inlineStr">
        <is>
          <t>Manual</t>
        </is>
      </c>
      <c r="I73" s="7" t="inlineStr">
        <is>
          <t>1.4</t>
        </is>
      </c>
      <c r="J73" s="7" t="inlineStr">
        <is>
          <t>Hatchback</t>
        </is>
      </c>
      <c r="K73" s="8" t="n">
        <v>5</v>
      </c>
      <c r="L73" s="7" t="inlineStr">
        <is>
          <t>Full</t>
        </is>
      </c>
      <c r="M73" s="7" t="inlineStr">
        <is>
          <t>Franchise dealer</t>
        </is>
      </c>
      <c r="N73" s="7" t="inlineStr">
        <is>
          <t>Good</t>
        </is>
      </c>
      <c r="O73" s="7" t="inlineStr">
        <is>
          <t>West Midlands</t>
        </is>
      </c>
      <c r="P73" s="9" t="n">
        <v>22000</v>
      </c>
      <c r="Q73" s="9" t="n">
        <v>9210</v>
      </c>
      <c r="R73" s="10">
        <f>Q73/P73</f>
        <v/>
      </c>
    </row>
    <row r="74">
      <c r="A74" s="7" t="inlineStr">
        <is>
          <t>AST-073</t>
        </is>
      </c>
      <c r="B74" s="8" t="n">
        <v>2020</v>
      </c>
      <c r="C74" s="8">
        <f>Calibration!$B$3-B74</f>
        <v/>
      </c>
      <c r="D74" s="9" t="n">
        <v>41529</v>
      </c>
      <c r="E74" s="9">
        <f>IF(C74=0,"",ROUND(D74/C74,0))</f>
        <v/>
      </c>
      <c r="F74" s="7" t="inlineStr">
        <is>
          <t>Ultimate</t>
        </is>
      </c>
      <c r="G74" s="7" t="inlineStr">
        <is>
          <t>Diesel</t>
        </is>
      </c>
      <c r="H74" s="7" t="inlineStr">
        <is>
          <t>Manual</t>
        </is>
      </c>
      <c r="I74" s="7" t="inlineStr">
        <is>
          <t>1.5</t>
        </is>
      </c>
      <c r="J74" s="7" t="inlineStr">
        <is>
          <t>Sports Tourer</t>
        </is>
      </c>
      <c r="K74" s="8" t="n">
        <v>5</v>
      </c>
      <c r="L74" s="7" t="inlineStr">
        <is>
          <t>None</t>
        </is>
      </c>
      <c r="M74" s="7" t="inlineStr">
        <is>
          <t>Independent dealer</t>
        </is>
      </c>
      <c r="N74" s="7" t="inlineStr">
        <is>
          <t>Fair</t>
        </is>
      </c>
      <c r="O74" s="7" t="inlineStr">
        <is>
          <t>North East</t>
        </is>
      </c>
      <c r="P74" s="9" t="n">
        <v>22000</v>
      </c>
      <c r="Q74" s="9" t="n">
        <v>7195</v>
      </c>
      <c r="R74" s="10">
        <f>Q74/P74</f>
        <v/>
      </c>
    </row>
    <row r="75">
      <c r="A75" s="7" t="inlineStr">
        <is>
          <t>AST-074</t>
        </is>
      </c>
      <c r="B75" s="8" t="n">
        <v>2020</v>
      </c>
      <c r="C75" s="8">
        <f>Calibration!$B$3-B75</f>
        <v/>
      </c>
      <c r="D75" s="9" t="n">
        <v>38221</v>
      </c>
      <c r="E75" s="9">
        <f>IF(C75=0,"",ROUND(D75/C75,0))</f>
        <v/>
      </c>
      <c r="F75" s="7" t="inlineStr">
        <is>
          <t>Elite Nav</t>
        </is>
      </c>
      <c r="G75" s="7" t="inlineStr">
        <is>
          <t>Petrol</t>
        </is>
      </c>
      <c r="H75" s="7" t="inlineStr">
        <is>
          <t>Manual</t>
        </is>
      </c>
      <c r="I75" s="7" t="inlineStr">
        <is>
          <t>1.5</t>
        </is>
      </c>
      <c r="J75" s="7" t="inlineStr">
        <is>
          <t>Hatchback</t>
        </is>
      </c>
      <c r="K75" s="8" t="n">
        <v>2</v>
      </c>
      <c r="L75" s="7" t="inlineStr">
        <is>
          <t>Full</t>
        </is>
      </c>
      <c r="M75" s="7" t="inlineStr">
        <is>
          <t>Independent dealer</t>
        </is>
      </c>
      <c r="N75" s="7" t="inlineStr">
        <is>
          <t>Good</t>
        </is>
      </c>
      <c r="O75" s="7" t="inlineStr">
        <is>
          <t>Scotland</t>
        </is>
      </c>
      <c r="P75" s="9" t="n">
        <v>22000</v>
      </c>
      <c r="Q75" s="9" t="n">
        <v>9905</v>
      </c>
      <c r="R75" s="10">
        <f>Q75/P75</f>
        <v/>
      </c>
    </row>
    <row r="76">
      <c r="A76" s="7" t="inlineStr">
        <is>
          <t>AST-075</t>
        </is>
      </c>
      <c r="B76" s="8" t="n">
        <v>2020</v>
      </c>
      <c r="C76" s="8">
        <f>Calibration!$B$3-B76</f>
        <v/>
      </c>
      <c r="D76" s="9" t="n">
        <v>116680</v>
      </c>
      <c r="E76" s="9">
        <f>IF(C76=0,"",ROUND(D76/C76,0))</f>
        <v/>
      </c>
      <c r="F76" s="7" t="inlineStr">
        <is>
          <t>Design</t>
        </is>
      </c>
      <c r="G76" s="7" t="inlineStr">
        <is>
          <t>Petrol</t>
        </is>
      </c>
      <c r="H76" s="7" t="inlineStr">
        <is>
          <t>Manual</t>
        </is>
      </c>
      <c r="I76" s="7" t="inlineStr">
        <is>
          <t>1.6</t>
        </is>
      </c>
      <c r="J76" s="7" t="inlineStr">
        <is>
          <t>Hatchback</t>
        </is>
      </c>
      <c r="K76" s="8" t="n">
        <v>5</v>
      </c>
      <c r="L76" s="7" t="inlineStr">
        <is>
          <t>Partial</t>
        </is>
      </c>
      <c r="M76" s="7" t="inlineStr">
        <is>
          <t>Private</t>
        </is>
      </c>
      <c r="N76" s="7" t="inlineStr">
        <is>
          <t>Fair</t>
        </is>
      </c>
      <c r="O76" s="7" t="inlineStr">
        <is>
          <t>Wales</t>
        </is>
      </c>
      <c r="P76" s="9" t="n">
        <v>22000</v>
      </c>
      <c r="Q76" s="9" t="n">
        <v>4480</v>
      </c>
      <c r="R76" s="10">
        <f>Q76/P76</f>
        <v/>
      </c>
    </row>
    <row r="77">
      <c r="A77" s="7" t="inlineStr">
        <is>
          <t>AST-076</t>
        </is>
      </c>
      <c r="B77" s="8" t="n">
        <v>2019</v>
      </c>
      <c r="C77" s="8">
        <f>Calibration!$B$3-B77</f>
        <v/>
      </c>
      <c r="D77" s="9" t="n">
        <v>106433</v>
      </c>
      <c r="E77" s="9">
        <f>IF(C77=0,"",ROUND(D77/C77,0))</f>
        <v/>
      </c>
      <c r="F77" s="7" t="inlineStr">
        <is>
          <t>Elite Nav</t>
        </is>
      </c>
      <c r="G77" s="7" t="inlineStr">
        <is>
          <t>Petrol</t>
        </is>
      </c>
      <c r="H77" s="7" t="inlineStr">
        <is>
          <t>Manual</t>
        </is>
      </c>
      <c r="I77" s="7" t="inlineStr">
        <is>
          <t>1.5</t>
        </is>
      </c>
      <c r="J77" s="7" t="inlineStr">
        <is>
          <t>Hatchback</t>
        </is>
      </c>
      <c r="K77" s="8" t="n">
        <v>4</v>
      </c>
      <c r="L77" s="7" t="inlineStr">
        <is>
          <t>Partial</t>
        </is>
      </c>
      <c r="M77" s="7" t="inlineStr">
        <is>
          <t>Franchise dealer</t>
        </is>
      </c>
      <c r="N77" s="7" t="inlineStr">
        <is>
          <t>Excellent</t>
        </is>
      </c>
      <c r="O77" s="7" t="inlineStr">
        <is>
          <t>East of England</t>
        </is>
      </c>
      <c r="P77" s="9" t="n">
        <v>21000</v>
      </c>
      <c r="Q77" s="9" t="n">
        <v>5975</v>
      </c>
      <c r="R77" s="10">
        <f>Q77/P77</f>
        <v/>
      </c>
    </row>
    <row r="78">
      <c r="A78" s="7" t="inlineStr">
        <is>
          <t>AST-077</t>
        </is>
      </c>
      <c r="B78" s="8" t="n">
        <v>2019</v>
      </c>
      <c r="C78" s="8">
        <f>Calibration!$B$3-B78</f>
        <v/>
      </c>
      <c r="D78" s="9" t="n">
        <v>27959</v>
      </c>
      <c r="E78" s="9">
        <f>IF(C78=0,"",ROUND(D78/C78,0))</f>
        <v/>
      </c>
      <c r="F78" s="7" t="inlineStr">
        <is>
          <t>SRi</t>
        </is>
      </c>
      <c r="G78" s="7" t="inlineStr">
        <is>
          <t>Diesel</t>
        </is>
      </c>
      <c r="H78" s="7" t="inlineStr">
        <is>
          <t>Manual</t>
        </is>
      </c>
      <c r="I78" s="7" t="inlineStr">
        <is>
          <t>1.6</t>
        </is>
      </c>
      <c r="J78" s="7" t="inlineStr">
        <is>
          <t>Hatchback</t>
        </is>
      </c>
      <c r="K78" s="8" t="n">
        <v>2</v>
      </c>
      <c r="L78" s="7" t="inlineStr">
        <is>
          <t>Full</t>
        </is>
      </c>
      <c r="M78" s="7" t="inlineStr">
        <is>
          <t>Franchise dealer</t>
        </is>
      </c>
      <c r="N78" s="7" t="inlineStr">
        <is>
          <t>Good</t>
        </is>
      </c>
      <c r="O78" s="7" t="inlineStr">
        <is>
          <t>Wales</t>
        </is>
      </c>
      <c r="P78" s="9" t="n">
        <v>21000</v>
      </c>
      <c r="Q78" s="9" t="n">
        <v>9195</v>
      </c>
      <c r="R78" s="10">
        <f>Q78/P78</f>
        <v/>
      </c>
    </row>
    <row r="79">
      <c r="A79" s="7" t="inlineStr">
        <is>
          <t>AST-078</t>
        </is>
      </c>
      <c r="B79" s="8" t="n">
        <v>2019</v>
      </c>
      <c r="C79" s="8">
        <f>Calibration!$B$3-B79</f>
        <v/>
      </c>
      <c r="D79" s="9" t="n">
        <v>51917</v>
      </c>
      <c r="E79" s="9">
        <f>IF(C79=0,"",ROUND(D79/C79,0))</f>
        <v/>
      </c>
      <c r="F79" s="7" t="inlineStr">
        <is>
          <t>Ultimate</t>
        </is>
      </c>
      <c r="G79" s="7" t="inlineStr">
        <is>
          <t>Petrol</t>
        </is>
      </c>
      <c r="H79" s="7" t="inlineStr">
        <is>
          <t>Manual</t>
        </is>
      </c>
      <c r="I79" s="7" t="inlineStr">
        <is>
          <t>1.4</t>
        </is>
      </c>
      <c r="J79" s="7" t="inlineStr">
        <is>
          <t>Sports Tourer</t>
        </is>
      </c>
      <c r="K79" s="8" t="n">
        <v>5</v>
      </c>
      <c r="L79" s="7" t="inlineStr">
        <is>
          <t>Partial</t>
        </is>
      </c>
      <c r="M79" s="7" t="inlineStr">
        <is>
          <t>Private</t>
        </is>
      </c>
      <c r="N79" s="7" t="inlineStr">
        <is>
          <t>Good</t>
        </is>
      </c>
      <c r="O79" s="7" t="inlineStr">
        <is>
          <t>Scotland</t>
        </is>
      </c>
      <c r="P79" s="9" t="n">
        <v>21000</v>
      </c>
      <c r="Q79" s="9" t="n">
        <v>6325</v>
      </c>
      <c r="R79" s="10">
        <f>Q79/P79</f>
        <v/>
      </c>
    </row>
    <row r="80">
      <c r="A80" s="7" t="inlineStr">
        <is>
          <t>AST-079</t>
        </is>
      </c>
      <c r="B80" s="8" t="n">
        <v>2019</v>
      </c>
      <c r="C80" s="8">
        <f>Calibration!$B$3-B80</f>
        <v/>
      </c>
      <c r="D80" s="9" t="n">
        <v>99002</v>
      </c>
      <c r="E80" s="9">
        <f>IF(C80=0,"",ROUND(D80/C80,0))</f>
        <v/>
      </c>
      <c r="F80" s="7" t="inlineStr">
        <is>
          <t>SRi VX-Line</t>
        </is>
      </c>
      <c r="G80" s="7" t="inlineStr">
        <is>
          <t>Petrol</t>
        </is>
      </c>
      <c r="H80" s="7" t="inlineStr">
        <is>
          <t>Automatic</t>
        </is>
      </c>
      <c r="I80" s="7" t="inlineStr">
        <is>
          <t>1.5</t>
        </is>
      </c>
      <c r="J80" s="7" t="inlineStr">
        <is>
          <t>Sports Tourer</t>
        </is>
      </c>
      <c r="K80" s="8" t="n">
        <v>2</v>
      </c>
      <c r="L80" s="7" t="inlineStr">
        <is>
          <t>Full</t>
        </is>
      </c>
      <c r="M80" s="7" t="inlineStr">
        <is>
          <t>Private</t>
        </is>
      </c>
      <c r="N80" s="7" t="inlineStr">
        <is>
          <t>Good</t>
        </is>
      </c>
      <c r="O80" s="7" t="inlineStr">
        <is>
          <t>London</t>
        </is>
      </c>
      <c r="P80" s="9" t="n">
        <v>21000</v>
      </c>
      <c r="Q80" s="9" t="n">
        <v>5850</v>
      </c>
      <c r="R80" s="10">
        <f>Q80/P80</f>
        <v/>
      </c>
    </row>
    <row r="81">
      <c r="A81" s="7" t="inlineStr">
        <is>
          <t>AST-080</t>
        </is>
      </c>
      <c r="B81" s="8" t="n">
        <v>2019</v>
      </c>
      <c r="C81" s="8">
        <f>Calibration!$B$3-B81</f>
        <v/>
      </c>
      <c r="D81" s="9" t="n">
        <v>56790</v>
      </c>
      <c r="E81" s="9">
        <f>IF(C81=0,"",ROUND(D81/C81,0))</f>
        <v/>
      </c>
      <c r="F81" s="7" t="inlineStr">
        <is>
          <t>SRi</t>
        </is>
      </c>
      <c r="G81" s="7" t="inlineStr">
        <is>
          <t>Petrol</t>
        </is>
      </c>
      <c r="H81" s="7" t="inlineStr">
        <is>
          <t>Manual</t>
        </is>
      </c>
      <c r="I81" s="7" t="inlineStr">
        <is>
          <t>1.4</t>
        </is>
      </c>
      <c r="J81" s="7" t="inlineStr">
        <is>
          <t>Hatchback</t>
        </is>
      </c>
      <c r="K81" s="8" t="n">
        <v>2</v>
      </c>
      <c r="L81" s="7" t="inlineStr">
        <is>
          <t>Full</t>
        </is>
      </c>
      <c r="M81" s="7" t="inlineStr">
        <is>
          <t>Independent dealer</t>
        </is>
      </c>
      <c r="N81" s="7" t="inlineStr">
        <is>
          <t>Excellent</t>
        </is>
      </c>
      <c r="O81" s="7" t="inlineStr">
        <is>
          <t>North East</t>
        </is>
      </c>
      <c r="P81" s="9" t="n">
        <v>21000</v>
      </c>
      <c r="Q81" s="9" t="n">
        <v>7700</v>
      </c>
      <c r="R81" s="10">
        <f>Q81/P81</f>
        <v/>
      </c>
    </row>
    <row r="82">
      <c r="A82" s="7" t="inlineStr">
        <is>
          <t>AST-081</t>
        </is>
      </c>
      <c r="B82" s="8" t="n">
        <v>2019</v>
      </c>
      <c r="C82" s="8">
        <f>Calibration!$B$3-B82</f>
        <v/>
      </c>
      <c r="D82" s="9" t="n">
        <v>110871</v>
      </c>
      <c r="E82" s="9">
        <f>IF(C82=0,"",ROUND(D82/C82,0))</f>
        <v/>
      </c>
      <c r="F82" s="7" t="inlineStr">
        <is>
          <t>Ultimate</t>
        </is>
      </c>
      <c r="G82" s="7" t="inlineStr">
        <is>
          <t>Petrol</t>
        </is>
      </c>
      <c r="H82" s="7" t="inlineStr">
        <is>
          <t>Automatic</t>
        </is>
      </c>
      <c r="I82" s="7" t="inlineStr">
        <is>
          <t>1.5</t>
        </is>
      </c>
      <c r="J82" s="7" t="inlineStr">
        <is>
          <t>Hatchback</t>
        </is>
      </c>
      <c r="K82" s="8" t="n">
        <v>3</v>
      </c>
      <c r="L82" s="7" t="inlineStr">
        <is>
          <t>Full</t>
        </is>
      </c>
      <c r="M82" s="7" t="inlineStr">
        <is>
          <t>Independent dealer</t>
        </is>
      </c>
      <c r="N82" s="7" t="inlineStr">
        <is>
          <t>Excellent</t>
        </is>
      </c>
      <c r="O82" s="7" t="inlineStr">
        <is>
          <t>North West</t>
        </is>
      </c>
      <c r="P82" s="9" t="n">
        <v>21000</v>
      </c>
      <c r="Q82" s="9" t="n">
        <v>6860</v>
      </c>
      <c r="R82" s="10">
        <f>Q82/P82</f>
        <v/>
      </c>
    </row>
    <row r="83">
      <c r="A83" s="7" t="inlineStr">
        <is>
          <t>AST-082</t>
        </is>
      </c>
      <c r="B83" s="8" t="n">
        <v>2019</v>
      </c>
      <c r="C83" s="8">
        <f>Calibration!$B$3-B83</f>
        <v/>
      </c>
      <c r="D83" s="9" t="n">
        <v>126929</v>
      </c>
      <c r="E83" s="9">
        <f>IF(C83=0,"",ROUND(D83/C83,0))</f>
        <v/>
      </c>
      <c r="F83" s="7" t="inlineStr">
        <is>
          <t>Ultimate</t>
        </is>
      </c>
      <c r="G83" s="7" t="inlineStr">
        <is>
          <t>Diesel</t>
        </is>
      </c>
      <c r="H83" s="7" t="inlineStr">
        <is>
          <t>Automatic</t>
        </is>
      </c>
      <c r="I83" s="7" t="inlineStr">
        <is>
          <t>1.2</t>
        </is>
      </c>
      <c r="J83" s="7" t="inlineStr">
        <is>
          <t>Hatchback</t>
        </is>
      </c>
      <c r="K83" s="8" t="n">
        <v>2</v>
      </c>
      <c r="L83" s="7" t="inlineStr">
        <is>
          <t>Full</t>
        </is>
      </c>
      <c r="M83" s="7" t="inlineStr">
        <is>
          <t>Franchise dealer</t>
        </is>
      </c>
      <c r="N83" s="7" t="inlineStr">
        <is>
          <t>Good</t>
        </is>
      </c>
      <c r="O83" s="7" t="inlineStr">
        <is>
          <t>London</t>
        </is>
      </c>
      <c r="P83" s="9" t="n">
        <v>21000</v>
      </c>
      <c r="Q83" s="9" t="n">
        <v>6735</v>
      </c>
      <c r="R83" s="10">
        <f>Q83/P83</f>
        <v/>
      </c>
    </row>
    <row r="84">
      <c r="A84" s="7" t="inlineStr">
        <is>
          <t>AST-083</t>
        </is>
      </c>
      <c r="B84" s="8" t="n">
        <v>2018</v>
      </c>
      <c r="C84" s="8">
        <f>Calibration!$B$3-B84</f>
        <v/>
      </c>
      <c r="D84" s="9" t="n">
        <v>28243</v>
      </c>
      <c r="E84" s="9">
        <f>IF(C84=0,"",ROUND(D84/C84,0))</f>
        <v/>
      </c>
      <c r="F84" s="7" t="inlineStr">
        <is>
          <t>SRi</t>
        </is>
      </c>
      <c r="G84" s="7" t="inlineStr">
        <is>
          <t>Diesel</t>
        </is>
      </c>
      <c r="H84" s="7" t="inlineStr">
        <is>
          <t>Manual</t>
        </is>
      </c>
      <c r="I84" s="7" t="inlineStr">
        <is>
          <t>1.4</t>
        </is>
      </c>
      <c r="J84" s="7" t="inlineStr">
        <is>
          <t>Hatchback</t>
        </is>
      </c>
      <c r="K84" s="8" t="n">
        <v>5</v>
      </c>
      <c r="L84" s="7" t="inlineStr">
        <is>
          <t>Partial</t>
        </is>
      </c>
      <c r="M84" s="7" t="inlineStr">
        <is>
          <t>Independent dealer</t>
        </is>
      </c>
      <c r="N84" s="7" t="inlineStr">
        <is>
          <t>Good</t>
        </is>
      </c>
      <c r="O84" s="7" t="inlineStr">
        <is>
          <t>East of England</t>
        </is>
      </c>
      <c r="P84" s="9" t="n">
        <v>20000</v>
      </c>
      <c r="Q84" s="9" t="n">
        <v>6645</v>
      </c>
      <c r="R84" s="10">
        <f>Q84/P84</f>
        <v/>
      </c>
    </row>
    <row r="85">
      <c r="A85" s="7" t="inlineStr">
        <is>
          <t>AST-084</t>
        </is>
      </c>
      <c r="B85" s="8" t="n">
        <v>2018</v>
      </c>
      <c r="C85" s="8">
        <f>Calibration!$B$3-B85</f>
        <v/>
      </c>
      <c r="D85" s="9" t="n">
        <v>48942</v>
      </c>
      <c r="E85" s="9">
        <f>IF(C85=0,"",ROUND(D85/C85,0))</f>
        <v/>
      </c>
      <c r="F85" s="7" t="inlineStr">
        <is>
          <t>Elite Nav</t>
        </is>
      </c>
      <c r="G85" s="7" t="inlineStr">
        <is>
          <t>Petrol</t>
        </is>
      </c>
      <c r="H85" s="7" t="inlineStr">
        <is>
          <t>Automatic</t>
        </is>
      </c>
      <c r="I85" s="7" t="inlineStr">
        <is>
          <t>1.5</t>
        </is>
      </c>
      <c r="J85" s="7" t="inlineStr">
        <is>
          <t>Hatchback</t>
        </is>
      </c>
      <c r="K85" s="8" t="n">
        <v>6</v>
      </c>
      <c r="L85" s="7" t="inlineStr">
        <is>
          <t>Partial</t>
        </is>
      </c>
      <c r="M85" s="7" t="inlineStr">
        <is>
          <t>Independent dealer</t>
        </is>
      </c>
      <c r="N85" s="7" t="inlineStr">
        <is>
          <t>Good</t>
        </is>
      </c>
      <c r="O85" s="7" t="inlineStr">
        <is>
          <t>South West</t>
        </is>
      </c>
      <c r="P85" s="9" t="n">
        <v>20000</v>
      </c>
      <c r="Q85" s="9" t="n">
        <v>6505</v>
      </c>
      <c r="R85" s="10">
        <f>Q85/P85</f>
        <v/>
      </c>
    </row>
    <row r="86">
      <c r="A86" s="7" t="inlineStr">
        <is>
          <t>AST-085</t>
        </is>
      </c>
      <c r="B86" s="8" t="n">
        <v>2018</v>
      </c>
      <c r="C86" s="8">
        <f>Calibration!$B$3-B86</f>
        <v/>
      </c>
      <c r="D86" s="9" t="n">
        <v>60739</v>
      </c>
      <c r="E86" s="9">
        <f>IF(C86=0,"",ROUND(D86/C86,0))</f>
        <v/>
      </c>
      <c r="F86" s="7" t="inlineStr">
        <is>
          <t>SRi VX-Line</t>
        </is>
      </c>
      <c r="G86" s="7" t="inlineStr">
        <is>
          <t>Diesel</t>
        </is>
      </c>
      <c r="H86" s="7" t="inlineStr">
        <is>
          <t>Manual</t>
        </is>
      </c>
      <c r="I86" s="7" t="inlineStr">
        <is>
          <t>1.4</t>
        </is>
      </c>
      <c r="J86" s="7" t="inlineStr">
        <is>
          <t>Hatchback</t>
        </is>
      </c>
      <c r="K86" s="8" t="n">
        <v>5</v>
      </c>
      <c r="L86" s="7" t="inlineStr">
        <is>
          <t>Full</t>
        </is>
      </c>
      <c r="M86" s="7" t="inlineStr">
        <is>
          <t>Independent dealer</t>
        </is>
      </c>
      <c r="N86" s="7" t="inlineStr">
        <is>
          <t>Excellent</t>
        </is>
      </c>
      <c r="O86" s="7" t="inlineStr">
        <is>
          <t>Wales</t>
        </is>
      </c>
      <c r="P86" s="9" t="n">
        <v>20000</v>
      </c>
      <c r="Q86" s="9" t="n">
        <v>6395</v>
      </c>
      <c r="R86" s="10">
        <f>Q86/P86</f>
        <v/>
      </c>
    </row>
    <row r="87">
      <c r="A87" s="7" t="inlineStr">
        <is>
          <t>AST-086</t>
        </is>
      </c>
      <c r="B87" s="8" t="n">
        <v>2018</v>
      </c>
      <c r="C87" s="8">
        <f>Calibration!$B$3-B87</f>
        <v/>
      </c>
      <c r="D87" s="9" t="n">
        <v>108109</v>
      </c>
      <c r="E87" s="9">
        <f>IF(C87=0,"",ROUND(D87/C87,0))</f>
        <v/>
      </c>
      <c r="F87" s="7" t="inlineStr">
        <is>
          <t>Design</t>
        </is>
      </c>
      <c r="G87" s="7" t="inlineStr">
        <is>
          <t>Diesel</t>
        </is>
      </c>
      <c r="H87" s="7" t="inlineStr">
        <is>
          <t>Manual</t>
        </is>
      </c>
      <c r="I87" s="7" t="inlineStr">
        <is>
          <t>1.4</t>
        </is>
      </c>
      <c r="J87" s="7" t="inlineStr">
        <is>
          <t>Hatchback</t>
        </is>
      </c>
      <c r="K87" s="8" t="n">
        <v>4</v>
      </c>
      <c r="L87" s="7" t="inlineStr">
        <is>
          <t>Partial</t>
        </is>
      </c>
      <c r="M87" s="7" t="inlineStr">
        <is>
          <t>Independent dealer</t>
        </is>
      </c>
      <c r="N87" s="7" t="inlineStr">
        <is>
          <t>Good</t>
        </is>
      </c>
      <c r="O87" s="7" t="inlineStr">
        <is>
          <t>Wales</t>
        </is>
      </c>
      <c r="P87" s="9" t="n">
        <v>20000</v>
      </c>
      <c r="Q87" s="9" t="n">
        <v>4445</v>
      </c>
      <c r="R87" s="10">
        <f>Q87/P87</f>
        <v/>
      </c>
    </row>
    <row r="88">
      <c r="A88" s="7" t="inlineStr">
        <is>
          <t>AST-087</t>
        </is>
      </c>
      <c r="B88" s="8" t="n">
        <v>2018</v>
      </c>
      <c r="C88" s="8">
        <f>Calibration!$B$3-B88</f>
        <v/>
      </c>
      <c r="D88" s="9" t="n">
        <v>95916</v>
      </c>
      <c r="E88" s="9">
        <f>IF(C88=0,"",ROUND(D88/C88,0))</f>
        <v/>
      </c>
      <c r="F88" s="7" t="inlineStr">
        <is>
          <t>Design</t>
        </is>
      </c>
      <c r="G88" s="7" t="inlineStr">
        <is>
          <t>Petrol</t>
        </is>
      </c>
      <c r="H88" s="7" t="inlineStr">
        <is>
          <t>Manual</t>
        </is>
      </c>
      <c r="I88" s="7" t="inlineStr">
        <is>
          <t>1.2</t>
        </is>
      </c>
      <c r="J88" s="7" t="inlineStr">
        <is>
          <t>Sports Tourer</t>
        </is>
      </c>
      <c r="K88" s="8" t="n">
        <v>5</v>
      </c>
      <c r="L88" s="7" t="inlineStr">
        <is>
          <t>Partial</t>
        </is>
      </c>
      <c r="M88" s="7" t="inlineStr">
        <is>
          <t>Independent dealer</t>
        </is>
      </c>
      <c r="N88" s="7" t="inlineStr">
        <is>
          <t>Good</t>
        </is>
      </c>
      <c r="O88" s="7" t="inlineStr">
        <is>
          <t>South West</t>
        </is>
      </c>
      <c r="P88" s="9" t="n">
        <v>20000</v>
      </c>
      <c r="Q88" s="9" t="n">
        <v>4440</v>
      </c>
      <c r="R88" s="10">
        <f>Q88/P88</f>
        <v/>
      </c>
    </row>
    <row r="89">
      <c r="A89" s="7" t="inlineStr">
        <is>
          <t>AST-088</t>
        </is>
      </c>
      <c r="B89" s="8" t="n">
        <v>2018</v>
      </c>
      <c r="C89" s="8">
        <f>Calibration!$B$3-B89</f>
        <v/>
      </c>
      <c r="D89" s="9" t="n">
        <v>103278</v>
      </c>
      <c r="E89" s="9">
        <f>IF(C89=0,"",ROUND(D89/C89,0))</f>
        <v/>
      </c>
      <c r="F89" s="7" t="inlineStr">
        <is>
          <t>Elite Nav</t>
        </is>
      </c>
      <c r="G89" s="7" t="inlineStr">
        <is>
          <t>Petrol</t>
        </is>
      </c>
      <c r="H89" s="7" t="inlineStr">
        <is>
          <t>Manual</t>
        </is>
      </c>
      <c r="I89" s="7" t="inlineStr">
        <is>
          <t>1.5</t>
        </is>
      </c>
      <c r="J89" s="7" t="inlineStr">
        <is>
          <t>Hatchback</t>
        </is>
      </c>
      <c r="K89" s="8" t="n">
        <v>5</v>
      </c>
      <c r="L89" s="7" t="inlineStr">
        <is>
          <t>None</t>
        </is>
      </c>
      <c r="M89" s="7" t="inlineStr">
        <is>
          <t>Independent dealer</t>
        </is>
      </c>
      <c r="N89" s="7" t="inlineStr">
        <is>
          <t>Fair</t>
        </is>
      </c>
      <c r="O89" s="7" t="inlineStr">
        <is>
          <t>Yorkshire</t>
        </is>
      </c>
      <c r="P89" s="9" t="n">
        <v>20000</v>
      </c>
      <c r="Q89" s="9" t="n">
        <v>4935</v>
      </c>
      <c r="R89" s="10">
        <f>Q89/P89</f>
        <v/>
      </c>
    </row>
    <row r="90">
      <c r="A90" s="7" t="inlineStr">
        <is>
          <t>AST-089</t>
        </is>
      </c>
      <c r="B90" s="8" t="n">
        <v>2017</v>
      </c>
      <c r="C90" s="8">
        <f>Calibration!$B$3-B90</f>
        <v/>
      </c>
      <c r="D90" s="9" t="n">
        <v>147547</v>
      </c>
      <c r="E90" s="9">
        <f>IF(C90=0,"",ROUND(D90/C90,0))</f>
        <v/>
      </c>
      <c r="F90" s="7" t="inlineStr">
        <is>
          <t>Design</t>
        </is>
      </c>
      <c r="G90" s="7" t="inlineStr">
        <is>
          <t>Petrol</t>
        </is>
      </c>
      <c r="H90" s="7" t="inlineStr">
        <is>
          <t>Automatic</t>
        </is>
      </c>
      <c r="I90" s="7" t="inlineStr">
        <is>
          <t>1.5</t>
        </is>
      </c>
      <c r="J90" s="7" t="inlineStr">
        <is>
          <t>Sports Tourer</t>
        </is>
      </c>
      <c r="K90" s="8" t="n">
        <v>4</v>
      </c>
      <c r="L90" s="7" t="inlineStr">
        <is>
          <t>Full</t>
        </is>
      </c>
      <c r="M90" s="7" t="inlineStr">
        <is>
          <t>Independent dealer</t>
        </is>
      </c>
      <c r="N90" s="7" t="inlineStr">
        <is>
          <t>Fair</t>
        </is>
      </c>
      <c r="O90" s="7" t="inlineStr">
        <is>
          <t>East of England</t>
        </is>
      </c>
      <c r="P90" s="9" t="n">
        <v>19500</v>
      </c>
      <c r="Q90" s="9" t="n">
        <v>3540</v>
      </c>
      <c r="R90" s="10">
        <f>Q90/P90</f>
        <v/>
      </c>
    </row>
    <row r="91">
      <c r="A91" s="7" t="inlineStr">
        <is>
          <t>AST-090</t>
        </is>
      </c>
      <c r="B91" s="8" t="n">
        <v>2017</v>
      </c>
      <c r="C91" s="8">
        <f>Calibration!$B$3-B91</f>
        <v/>
      </c>
      <c r="D91" s="9" t="n">
        <v>56317</v>
      </c>
      <c r="E91" s="9">
        <f>IF(C91=0,"",ROUND(D91/C91,0))</f>
        <v/>
      </c>
      <c r="F91" s="7" t="inlineStr">
        <is>
          <t>Design</t>
        </is>
      </c>
      <c r="G91" s="7" t="inlineStr">
        <is>
          <t>Diesel</t>
        </is>
      </c>
      <c r="H91" s="7" t="inlineStr">
        <is>
          <t>Manual</t>
        </is>
      </c>
      <c r="I91" s="7" t="inlineStr">
        <is>
          <t>1.6</t>
        </is>
      </c>
      <c r="J91" s="7" t="inlineStr">
        <is>
          <t>Hatchback</t>
        </is>
      </c>
      <c r="K91" s="8" t="n">
        <v>1</v>
      </c>
      <c r="L91" s="7" t="inlineStr">
        <is>
          <t>Full</t>
        </is>
      </c>
      <c r="M91" s="7" t="inlineStr">
        <is>
          <t>Independent dealer</t>
        </is>
      </c>
      <c r="N91" s="7" t="inlineStr">
        <is>
          <t>Excellent</t>
        </is>
      </c>
      <c r="O91" s="7" t="inlineStr">
        <is>
          <t>Scotland</t>
        </is>
      </c>
      <c r="P91" s="9" t="n">
        <v>19500</v>
      </c>
      <c r="Q91" s="9" t="n">
        <v>6025</v>
      </c>
      <c r="R91" s="10">
        <f>Q91/P91</f>
        <v/>
      </c>
    </row>
    <row r="92">
      <c r="A92" s="7" t="inlineStr">
        <is>
          <t>AST-091</t>
        </is>
      </c>
      <c r="B92" s="8" t="n">
        <v>2017</v>
      </c>
      <c r="C92" s="8">
        <f>Calibration!$B$3-B92</f>
        <v/>
      </c>
      <c r="D92" s="9" t="n">
        <v>80087</v>
      </c>
      <c r="E92" s="9">
        <f>IF(C92=0,"",ROUND(D92/C92,0))</f>
        <v/>
      </c>
      <c r="F92" s="7" t="inlineStr">
        <is>
          <t>SRi VX-Line</t>
        </is>
      </c>
      <c r="G92" s="7" t="inlineStr">
        <is>
          <t>Petrol</t>
        </is>
      </c>
      <c r="H92" s="7" t="inlineStr">
        <is>
          <t>Automatic</t>
        </is>
      </c>
      <c r="I92" s="7" t="inlineStr">
        <is>
          <t>1.6</t>
        </is>
      </c>
      <c r="J92" s="7" t="inlineStr">
        <is>
          <t>Sports Tourer</t>
        </is>
      </c>
      <c r="K92" s="8" t="n">
        <v>6</v>
      </c>
      <c r="L92" s="7" t="inlineStr">
        <is>
          <t>Partial</t>
        </is>
      </c>
      <c r="M92" s="7" t="inlineStr">
        <is>
          <t>Franchise dealer</t>
        </is>
      </c>
      <c r="N92" s="7" t="inlineStr">
        <is>
          <t>Good</t>
        </is>
      </c>
      <c r="O92" s="7" t="inlineStr">
        <is>
          <t>North West</t>
        </is>
      </c>
      <c r="P92" s="9" t="n">
        <v>19500</v>
      </c>
      <c r="Q92" s="9" t="n">
        <v>6010</v>
      </c>
      <c r="R92" s="10">
        <f>Q92/P92</f>
        <v/>
      </c>
    </row>
    <row r="93">
      <c r="A93" s="7" t="inlineStr">
        <is>
          <t>AST-092</t>
        </is>
      </c>
      <c r="B93" s="8" t="n">
        <v>2017</v>
      </c>
      <c r="C93" s="8">
        <f>Calibration!$B$3-B93</f>
        <v/>
      </c>
      <c r="D93" s="9" t="n">
        <v>143622</v>
      </c>
      <c r="E93" s="9">
        <f>IF(C93=0,"",ROUND(D93/C93,0))</f>
        <v/>
      </c>
      <c r="F93" s="7" t="inlineStr">
        <is>
          <t>Ultimate</t>
        </is>
      </c>
      <c r="G93" s="7" t="inlineStr">
        <is>
          <t>Petrol</t>
        </is>
      </c>
      <c r="H93" s="7" t="inlineStr">
        <is>
          <t>Manual</t>
        </is>
      </c>
      <c r="I93" s="7" t="inlineStr">
        <is>
          <t>1.2</t>
        </is>
      </c>
      <c r="J93" s="7" t="inlineStr">
        <is>
          <t>Hatchback</t>
        </is>
      </c>
      <c r="K93" s="8" t="n">
        <v>1</v>
      </c>
      <c r="L93" s="7" t="inlineStr">
        <is>
          <t>Full</t>
        </is>
      </c>
      <c r="M93" s="7" t="inlineStr">
        <is>
          <t>Independent dealer</t>
        </is>
      </c>
      <c r="N93" s="7" t="inlineStr">
        <is>
          <t>Good</t>
        </is>
      </c>
      <c r="O93" s="7" t="inlineStr">
        <is>
          <t>East of England</t>
        </is>
      </c>
      <c r="P93" s="9" t="n">
        <v>19500</v>
      </c>
      <c r="Q93" s="9" t="n">
        <v>4610</v>
      </c>
      <c r="R93" s="10">
        <f>Q93/P93</f>
        <v/>
      </c>
    </row>
    <row r="94">
      <c r="A94" s="7" t="inlineStr">
        <is>
          <t>AST-093</t>
        </is>
      </c>
      <c r="B94" s="8" t="n">
        <v>2017</v>
      </c>
      <c r="C94" s="8">
        <f>Calibration!$B$3-B94</f>
        <v/>
      </c>
      <c r="D94" s="9" t="n">
        <v>58310</v>
      </c>
      <c r="E94" s="9">
        <f>IF(C94=0,"",ROUND(D94/C94,0))</f>
        <v/>
      </c>
      <c r="F94" s="7" t="inlineStr">
        <is>
          <t>SRi</t>
        </is>
      </c>
      <c r="G94" s="7" t="inlineStr">
        <is>
          <t>Petrol</t>
        </is>
      </c>
      <c r="H94" s="7" t="inlineStr">
        <is>
          <t>Manual</t>
        </is>
      </c>
      <c r="I94" s="7" t="inlineStr">
        <is>
          <t>1.2</t>
        </is>
      </c>
      <c r="J94" s="7" t="inlineStr">
        <is>
          <t>Sports Tourer</t>
        </is>
      </c>
      <c r="K94" s="8" t="n">
        <v>5</v>
      </c>
      <c r="L94" s="7" t="inlineStr">
        <is>
          <t>Full</t>
        </is>
      </c>
      <c r="M94" s="7" t="inlineStr">
        <is>
          <t>Independent dealer</t>
        </is>
      </c>
      <c r="N94" s="7" t="inlineStr">
        <is>
          <t>Good</t>
        </is>
      </c>
      <c r="O94" s="7" t="inlineStr">
        <is>
          <t>Yorkshire</t>
        </is>
      </c>
      <c r="P94" s="9" t="n">
        <v>19500</v>
      </c>
      <c r="Q94" s="9" t="n">
        <v>6185</v>
      </c>
      <c r="R94" s="10">
        <f>Q94/P94</f>
        <v/>
      </c>
    </row>
    <row r="95">
      <c r="A95" s="7" t="inlineStr">
        <is>
          <t>AST-094</t>
        </is>
      </c>
      <c r="B95" s="8" t="n">
        <v>2017</v>
      </c>
      <c r="C95" s="8">
        <f>Calibration!$B$3-B95</f>
        <v/>
      </c>
      <c r="D95" s="9" t="n">
        <v>182592</v>
      </c>
      <c r="E95" s="9">
        <f>IF(C95=0,"",ROUND(D95/C95,0))</f>
        <v/>
      </c>
      <c r="F95" s="7" t="inlineStr">
        <is>
          <t>SRi</t>
        </is>
      </c>
      <c r="G95" s="7" t="inlineStr">
        <is>
          <t>Petrol</t>
        </is>
      </c>
      <c r="H95" s="7" t="inlineStr">
        <is>
          <t>Automatic</t>
        </is>
      </c>
      <c r="I95" s="7" t="inlineStr">
        <is>
          <t>1.2</t>
        </is>
      </c>
      <c r="J95" s="7" t="inlineStr">
        <is>
          <t>Hatchback</t>
        </is>
      </c>
      <c r="K95" s="8" t="n">
        <v>4</v>
      </c>
      <c r="L95" s="7" t="inlineStr">
        <is>
          <t>Full</t>
        </is>
      </c>
      <c r="M95" s="7" t="inlineStr">
        <is>
          <t>Independent dealer</t>
        </is>
      </c>
      <c r="N95" s="7" t="inlineStr">
        <is>
          <t>Excellent</t>
        </is>
      </c>
      <c r="O95" s="7" t="inlineStr">
        <is>
          <t>London</t>
        </is>
      </c>
      <c r="P95" s="9" t="n">
        <v>19500</v>
      </c>
      <c r="Q95" s="9" t="n">
        <v>4280</v>
      </c>
      <c r="R95" s="10">
        <f>Q95/P95</f>
        <v/>
      </c>
    </row>
    <row r="96">
      <c r="A96" s="7" t="inlineStr">
        <is>
          <t>AST-095</t>
        </is>
      </c>
      <c r="B96" s="8" t="n">
        <v>2017</v>
      </c>
      <c r="C96" s="8">
        <f>Calibration!$B$3-B96</f>
        <v/>
      </c>
      <c r="D96" s="9" t="n">
        <v>61682</v>
      </c>
      <c r="E96" s="9">
        <f>IF(C96=0,"",ROUND(D96/C96,0))</f>
        <v/>
      </c>
      <c r="F96" s="7" t="inlineStr">
        <is>
          <t>SRi</t>
        </is>
      </c>
      <c r="G96" s="7" t="inlineStr">
        <is>
          <t>Petrol</t>
        </is>
      </c>
      <c r="H96" s="7" t="inlineStr">
        <is>
          <t>Manual</t>
        </is>
      </c>
      <c r="I96" s="7" t="inlineStr">
        <is>
          <t>1.2</t>
        </is>
      </c>
      <c r="J96" s="7" t="inlineStr">
        <is>
          <t>Hatchback</t>
        </is>
      </c>
      <c r="K96" s="8" t="n">
        <v>4</v>
      </c>
      <c r="L96" s="7" t="inlineStr">
        <is>
          <t>Full</t>
        </is>
      </c>
      <c r="M96" s="7" t="inlineStr">
        <is>
          <t>Independent dealer</t>
        </is>
      </c>
      <c r="N96" s="7" t="inlineStr">
        <is>
          <t>Good</t>
        </is>
      </c>
      <c r="O96" s="7" t="inlineStr">
        <is>
          <t>Yorkshire</t>
        </is>
      </c>
      <c r="P96" s="9" t="n">
        <v>19500</v>
      </c>
      <c r="Q96" s="9" t="n">
        <v>6170</v>
      </c>
      <c r="R96" s="10">
        <f>Q96/P96</f>
        <v/>
      </c>
    </row>
    <row r="97">
      <c r="A97" s="7" t="inlineStr">
        <is>
          <t>AST-096</t>
        </is>
      </c>
      <c r="B97" s="8" t="n">
        <v>2016</v>
      </c>
      <c r="C97" s="8">
        <f>Calibration!$B$3-B97</f>
        <v/>
      </c>
      <c r="D97" s="9" t="n">
        <v>109750</v>
      </c>
      <c r="E97" s="9">
        <f>IF(C97=0,"",ROUND(D97/C97,0))</f>
        <v/>
      </c>
      <c r="F97" s="7" t="inlineStr">
        <is>
          <t>Ultimate</t>
        </is>
      </c>
      <c r="G97" s="7" t="inlineStr">
        <is>
          <t>Petrol</t>
        </is>
      </c>
      <c r="H97" s="7" t="inlineStr">
        <is>
          <t>Manual</t>
        </is>
      </c>
      <c r="I97" s="7" t="inlineStr">
        <is>
          <t>1.4</t>
        </is>
      </c>
      <c r="J97" s="7" t="inlineStr">
        <is>
          <t>Hatchback</t>
        </is>
      </c>
      <c r="K97" s="8" t="n">
        <v>5</v>
      </c>
      <c r="L97" s="7" t="inlineStr">
        <is>
          <t>Partial</t>
        </is>
      </c>
      <c r="M97" s="7" t="inlineStr">
        <is>
          <t>Franchise dealer</t>
        </is>
      </c>
      <c r="N97" s="7" t="inlineStr">
        <is>
          <t>Good</t>
        </is>
      </c>
      <c r="O97" s="7" t="inlineStr">
        <is>
          <t>South West</t>
        </is>
      </c>
      <c r="P97" s="9" t="n">
        <v>19000</v>
      </c>
      <c r="Q97" s="9" t="n">
        <v>4920</v>
      </c>
      <c r="R97" s="10">
        <f>Q97/P97</f>
        <v/>
      </c>
    </row>
    <row r="98">
      <c r="A98" s="7" t="inlineStr">
        <is>
          <t>AST-097</t>
        </is>
      </c>
      <c r="B98" s="8" t="n">
        <v>2016</v>
      </c>
      <c r="C98" s="8">
        <f>Calibration!$B$3-B98</f>
        <v/>
      </c>
      <c r="D98" s="9" t="n">
        <v>181288</v>
      </c>
      <c r="E98" s="9">
        <f>IF(C98=0,"",ROUND(D98/C98,0))</f>
        <v/>
      </c>
      <c r="F98" s="7" t="inlineStr">
        <is>
          <t>Ultimate</t>
        </is>
      </c>
      <c r="G98" s="7" t="inlineStr">
        <is>
          <t>Petrol</t>
        </is>
      </c>
      <c r="H98" s="7" t="inlineStr">
        <is>
          <t>Manual</t>
        </is>
      </c>
      <c r="I98" s="7" t="inlineStr">
        <is>
          <t>1.6</t>
        </is>
      </c>
      <c r="J98" s="7" t="inlineStr">
        <is>
          <t>Hatchback</t>
        </is>
      </c>
      <c r="K98" s="8" t="n">
        <v>5</v>
      </c>
      <c r="L98" s="7" t="inlineStr">
        <is>
          <t>Full</t>
        </is>
      </c>
      <c r="M98" s="7" t="inlineStr">
        <is>
          <t>Franchise dealer</t>
        </is>
      </c>
      <c r="N98" s="7" t="inlineStr">
        <is>
          <t>Good</t>
        </is>
      </c>
      <c r="O98" s="7" t="inlineStr">
        <is>
          <t>North West</t>
        </is>
      </c>
      <c r="P98" s="9" t="n">
        <v>19000</v>
      </c>
      <c r="Q98" s="9" t="n">
        <v>4090</v>
      </c>
      <c r="R98" s="10">
        <f>Q98/P98</f>
        <v/>
      </c>
    </row>
    <row r="99">
      <c r="A99" s="7" t="inlineStr">
        <is>
          <t>AST-098</t>
        </is>
      </c>
      <c r="B99" s="8" t="n">
        <v>2016</v>
      </c>
      <c r="C99" s="8">
        <f>Calibration!$B$3-B99</f>
        <v/>
      </c>
      <c r="D99" s="9" t="n">
        <v>64299</v>
      </c>
      <c r="E99" s="9">
        <f>IF(C99=0,"",ROUND(D99/C99,0))</f>
        <v/>
      </c>
      <c r="F99" s="7" t="inlineStr">
        <is>
          <t>Design</t>
        </is>
      </c>
      <c r="G99" s="7" t="inlineStr">
        <is>
          <t>Petrol</t>
        </is>
      </c>
      <c r="H99" s="7" t="inlineStr">
        <is>
          <t>Automatic</t>
        </is>
      </c>
      <c r="I99" s="7" t="inlineStr">
        <is>
          <t>1.5</t>
        </is>
      </c>
      <c r="J99" s="7" t="inlineStr">
        <is>
          <t>Sports Tourer</t>
        </is>
      </c>
      <c r="K99" s="8" t="n">
        <v>2</v>
      </c>
      <c r="L99" s="7" t="inlineStr">
        <is>
          <t>Full</t>
        </is>
      </c>
      <c r="M99" s="7" t="inlineStr">
        <is>
          <t>Independent dealer</t>
        </is>
      </c>
      <c r="N99" s="7" t="inlineStr">
        <is>
          <t>Fair</t>
        </is>
      </c>
      <c r="O99" s="7" t="inlineStr">
        <is>
          <t>North West</t>
        </is>
      </c>
      <c r="P99" s="9" t="n">
        <v>19000</v>
      </c>
      <c r="Q99" s="9" t="n">
        <v>5290</v>
      </c>
      <c r="R99" s="10">
        <f>Q99/P99</f>
        <v/>
      </c>
    </row>
    <row r="100">
      <c r="A100" s="7" t="inlineStr">
        <is>
          <t>AST-099</t>
        </is>
      </c>
      <c r="B100" s="8" t="n">
        <v>2016</v>
      </c>
      <c r="C100" s="8">
        <f>Calibration!$B$3-B100</f>
        <v/>
      </c>
      <c r="D100" s="9" t="n">
        <v>207161</v>
      </c>
      <c r="E100" s="9">
        <f>IF(C100=0,"",ROUND(D100/C100,0))</f>
        <v/>
      </c>
      <c r="F100" s="7" t="inlineStr">
        <is>
          <t>Design</t>
        </is>
      </c>
      <c r="G100" s="7" t="inlineStr">
        <is>
          <t>Petrol</t>
        </is>
      </c>
      <c r="H100" s="7" t="inlineStr">
        <is>
          <t>Automatic</t>
        </is>
      </c>
      <c r="I100" s="7" t="inlineStr">
        <is>
          <t>1.6</t>
        </is>
      </c>
      <c r="J100" s="7" t="inlineStr">
        <is>
          <t>Hatchback</t>
        </is>
      </c>
      <c r="K100" s="8" t="n">
        <v>3</v>
      </c>
      <c r="L100" s="7" t="inlineStr">
        <is>
          <t>Full</t>
        </is>
      </c>
      <c r="M100" s="7" t="inlineStr">
        <is>
          <t>Independent dealer</t>
        </is>
      </c>
      <c r="N100" s="7" t="inlineStr">
        <is>
          <t>Excellent</t>
        </is>
      </c>
      <c r="O100" s="7" t="inlineStr">
        <is>
          <t>North East</t>
        </is>
      </c>
      <c r="P100" s="9" t="n">
        <v>19000</v>
      </c>
      <c r="Q100" s="9" t="n">
        <v>3560</v>
      </c>
      <c r="R100" s="10">
        <f>Q100/P100</f>
        <v/>
      </c>
    </row>
    <row r="101">
      <c r="A101" s="7" t="inlineStr">
        <is>
          <t>AST-100</t>
        </is>
      </c>
      <c r="B101" s="8" t="n">
        <v>2016</v>
      </c>
      <c r="C101" s="8">
        <f>Calibration!$B$3-B101</f>
        <v/>
      </c>
      <c r="D101" s="9" t="n">
        <v>198527</v>
      </c>
      <c r="E101" s="9">
        <f>IF(C101=0,"",ROUND(D101/C101,0))</f>
        <v/>
      </c>
      <c r="F101" s="7" t="inlineStr">
        <is>
          <t>Ultimate</t>
        </is>
      </c>
      <c r="G101" s="7" t="inlineStr">
        <is>
          <t>Petrol</t>
        </is>
      </c>
      <c r="H101" s="7" t="inlineStr">
        <is>
          <t>Manual</t>
        </is>
      </c>
      <c r="I101" s="7" t="inlineStr">
        <is>
          <t>1.6</t>
        </is>
      </c>
      <c r="J101" s="7" t="inlineStr">
        <is>
          <t>Hatchback</t>
        </is>
      </c>
      <c r="K101" s="8" t="n">
        <v>3</v>
      </c>
      <c r="L101" s="7" t="inlineStr">
        <is>
          <t>Full</t>
        </is>
      </c>
      <c r="M101" s="7" t="inlineStr">
        <is>
          <t>Independent dealer</t>
        </is>
      </c>
      <c r="N101" s="7" t="inlineStr">
        <is>
          <t>Good</t>
        </is>
      </c>
      <c r="O101" s="7" t="inlineStr">
        <is>
          <t>West Midlands</t>
        </is>
      </c>
      <c r="P101" s="9" t="n">
        <v>19000</v>
      </c>
      <c r="Q101" s="9" t="n">
        <v>3685</v>
      </c>
      <c r="R101" s="10">
        <f>Q101/P101</f>
        <v/>
      </c>
    </row>
    <row r="103">
      <c r="A103" s="11" t="inlineStr">
        <is>
          <t>Sample summary</t>
        </is>
      </c>
      <c r="B103" s="11" t="inlineStr">
        <is>
          <t>Cars</t>
        </is>
      </c>
      <c r="C103" s="12">
        <f>COUNT(Q2:Q101)</f>
        <v/>
      </c>
      <c r="D103" s="11" t="inlineStr">
        <is>
          <t>Mean asking price</t>
        </is>
      </c>
      <c r="E103" s="13">
        <f>ROUND(AVERAGE(Q2:Q101),0)</f>
        <v/>
      </c>
      <c r="F103" s="11" t="inlineStr">
        <is>
          <t>Mean mileage</t>
        </is>
      </c>
      <c r="G103" s="12">
        <f>ROUND(AVERAGE(D2:D101),0)</f>
        <v/>
      </c>
      <c r="H103" s="11" t="inlineStr">
        <is>
          <t>Mean age</t>
        </is>
      </c>
      <c r="I103" s="14">
        <f>ROUND(AVERAGE(C2:C101),1)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4" customWidth="1" min="4" max="4"/>
    <col width="20" customWidth="1" min="5" max="5"/>
    <col width="20" customWidth="1" min="6" max="6"/>
  </cols>
  <sheetData>
    <row r="1">
      <c r="A1" s="15" t="inlineStr">
        <is>
          <t>How the sample prices by age</t>
        </is>
      </c>
    </row>
    <row r="2">
      <c r="A2" s="16" t="inlineStr">
        <is>
          <t>Every figure below is a live formula over the Listings tab.</t>
        </is>
      </c>
    </row>
    <row r="4">
      <c r="A4" s="17" t="inlineStr">
        <is>
          <t>Age (years)</t>
        </is>
      </c>
      <c r="B4" s="17" t="inlineStr">
        <is>
          <t>Cars</t>
        </is>
      </c>
      <c r="C4" s="17" t="inlineStr">
        <is>
          <t>Mean Asking Price</t>
        </is>
      </c>
      <c r="D4" s="17" t="inlineStr">
        <is>
          <t>Mean Mileage</t>
        </is>
      </c>
      <c r="E4" s="17" t="inlineStr">
        <is>
          <t>Mean Retained % of List</t>
        </is>
      </c>
      <c r="F4" s="17" t="inlineStr">
        <is>
          <t>Mean Price per 1k Miles</t>
        </is>
      </c>
    </row>
    <row r="5">
      <c r="A5" s="8" t="n">
        <v>0</v>
      </c>
      <c r="B5" s="8">
        <f>COUNTIFS(Listings!$C$2:$C$101,A5)</f>
        <v/>
      </c>
      <c r="C5" s="9">
        <f>IF(B5=0,"",ROUND(AVERAGEIFS(Listings!$Q$2:$Q$101,Listings!$C$2:$C$101,A5),0))</f>
        <v/>
      </c>
      <c r="D5" s="9">
        <f>IF(B5=0,"",ROUND(AVERAGEIFS(Listings!$D$2:$D$101,Listings!$C$2:$C$101,A5),0))</f>
        <v/>
      </c>
      <c r="E5" s="10">
        <f>IF(B5=0,"",AVERAGEIFS(Listings!$R$2:$R$101,Listings!$C$2:$C$101,A5))</f>
        <v/>
      </c>
      <c r="F5" s="18">
        <f>IF(OR(B5=0,D5=0),"",ROUND(C5/(D5/1000),0))</f>
        <v/>
      </c>
    </row>
    <row r="6">
      <c r="A6" s="8" t="n">
        <v>1</v>
      </c>
      <c r="B6" s="8">
        <f>COUNTIFS(Listings!$C$2:$C$101,A6)</f>
        <v/>
      </c>
      <c r="C6" s="9">
        <f>IF(B6=0,"",ROUND(AVERAGEIFS(Listings!$Q$2:$Q$101,Listings!$C$2:$C$101,A6),0))</f>
        <v/>
      </c>
      <c r="D6" s="9">
        <f>IF(B6=0,"",ROUND(AVERAGEIFS(Listings!$D$2:$D$101,Listings!$C$2:$C$101,A6),0))</f>
        <v/>
      </c>
      <c r="E6" s="10">
        <f>IF(B6=0,"",AVERAGEIFS(Listings!$R$2:$R$101,Listings!$C$2:$C$101,A6))</f>
        <v/>
      </c>
      <c r="F6" s="18">
        <f>IF(OR(B6=0,D6=0),"",ROUND(C6/(D6/1000),0))</f>
        <v/>
      </c>
    </row>
    <row r="7">
      <c r="A7" s="8" t="n">
        <v>2</v>
      </c>
      <c r="B7" s="8">
        <f>COUNTIFS(Listings!$C$2:$C$101,A7)</f>
        <v/>
      </c>
      <c r="C7" s="9">
        <f>IF(B7=0,"",ROUND(AVERAGEIFS(Listings!$Q$2:$Q$101,Listings!$C$2:$C$101,A7),0))</f>
        <v/>
      </c>
      <c r="D7" s="9">
        <f>IF(B7=0,"",ROUND(AVERAGEIFS(Listings!$D$2:$D$101,Listings!$C$2:$C$101,A7),0))</f>
        <v/>
      </c>
      <c r="E7" s="10">
        <f>IF(B7=0,"",AVERAGEIFS(Listings!$R$2:$R$101,Listings!$C$2:$C$101,A7))</f>
        <v/>
      </c>
      <c r="F7" s="18">
        <f>IF(OR(B7=0,D7=0),"",ROUND(C7/(D7/1000),0))</f>
        <v/>
      </c>
    </row>
    <row r="8">
      <c r="A8" s="8" t="n">
        <v>3</v>
      </c>
      <c r="B8" s="8">
        <f>COUNTIFS(Listings!$C$2:$C$101,A8)</f>
        <v/>
      </c>
      <c r="C8" s="9">
        <f>IF(B8=0,"",ROUND(AVERAGEIFS(Listings!$Q$2:$Q$101,Listings!$C$2:$C$101,A8),0))</f>
        <v/>
      </c>
      <c r="D8" s="9">
        <f>IF(B8=0,"",ROUND(AVERAGEIFS(Listings!$D$2:$D$101,Listings!$C$2:$C$101,A8),0))</f>
        <v/>
      </c>
      <c r="E8" s="10">
        <f>IF(B8=0,"",AVERAGEIFS(Listings!$R$2:$R$101,Listings!$C$2:$C$101,A8))</f>
        <v/>
      </c>
      <c r="F8" s="18">
        <f>IF(OR(B8=0,D8=0),"",ROUND(C8/(D8/1000),0))</f>
        <v/>
      </c>
    </row>
    <row r="9">
      <c r="A9" s="8" t="n">
        <v>4</v>
      </c>
      <c r="B9" s="8">
        <f>COUNTIFS(Listings!$C$2:$C$101,A9)</f>
        <v/>
      </c>
      <c r="C9" s="9">
        <f>IF(B9=0,"",ROUND(AVERAGEIFS(Listings!$Q$2:$Q$101,Listings!$C$2:$C$101,A9),0))</f>
        <v/>
      </c>
      <c r="D9" s="9">
        <f>IF(B9=0,"",ROUND(AVERAGEIFS(Listings!$D$2:$D$101,Listings!$C$2:$C$101,A9),0))</f>
        <v/>
      </c>
      <c r="E9" s="10">
        <f>IF(B9=0,"",AVERAGEIFS(Listings!$R$2:$R$101,Listings!$C$2:$C$101,A9))</f>
        <v/>
      </c>
      <c r="F9" s="18">
        <f>IF(OR(B9=0,D9=0),"",ROUND(C9/(D9/1000),0))</f>
        <v/>
      </c>
    </row>
    <row r="10">
      <c r="A10" s="8" t="n">
        <v>5</v>
      </c>
      <c r="B10" s="8">
        <f>COUNTIFS(Listings!$C$2:$C$101,A10)</f>
        <v/>
      </c>
      <c r="C10" s="9">
        <f>IF(B10=0,"",ROUND(AVERAGEIFS(Listings!$Q$2:$Q$101,Listings!$C$2:$C$101,A10),0))</f>
        <v/>
      </c>
      <c r="D10" s="9">
        <f>IF(B10=0,"",ROUND(AVERAGEIFS(Listings!$D$2:$D$101,Listings!$C$2:$C$101,A10),0))</f>
        <v/>
      </c>
      <c r="E10" s="10">
        <f>IF(B10=0,"",AVERAGEIFS(Listings!$R$2:$R$101,Listings!$C$2:$C$101,A10))</f>
        <v/>
      </c>
      <c r="F10" s="18">
        <f>IF(OR(B10=0,D10=0),"",ROUND(C10/(D10/1000),0))</f>
        <v/>
      </c>
    </row>
    <row r="11">
      <c r="A11" s="8" t="n">
        <v>6</v>
      </c>
      <c r="B11" s="8">
        <f>COUNTIFS(Listings!$C$2:$C$101,A11)</f>
        <v/>
      </c>
      <c r="C11" s="9">
        <f>IF(B11=0,"",ROUND(AVERAGEIFS(Listings!$Q$2:$Q$101,Listings!$C$2:$C$101,A11),0))</f>
        <v/>
      </c>
      <c r="D11" s="9">
        <f>IF(B11=0,"",ROUND(AVERAGEIFS(Listings!$D$2:$D$101,Listings!$C$2:$C$101,A11),0))</f>
        <v/>
      </c>
      <c r="E11" s="10">
        <f>IF(B11=0,"",AVERAGEIFS(Listings!$R$2:$R$101,Listings!$C$2:$C$101,A11))</f>
        <v/>
      </c>
      <c r="F11" s="18">
        <f>IF(OR(B11=0,D11=0),"",ROUND(C11/(D11/1000),0))</f>
        <v/>
      </c>
    </row>
    <row r="12">
      <c r="A12" s="8" t="n">
        <v>7</v>
      </c>
      <c r="B12" s="8">
        <f>COUNTIFS(Listings!$C$2:$C$101,A12)</f>
        <v/>
      </c>
      <c r="C12" s="9">
        <f>IF(B12=0,"",ROUND(AVERAGEIFS(Listings!$Q$2:$Q$101,Listings!$C$2:$C$101,A12),0))</f>
        <v/>
      </c>
      <c r="D12" s="9">
        <f>IF(B12=0,"",ROUND(AVERAGEIFS(Listings!$D$2:$D$101,Listings!$C$2:$C$101,A12),0))</f>
        <v/>
      </c>
      <c r="E12" s="10">
        <f>IF(B12=0,"",AVERAGEIFS(Listings!$R$2:$R$101,Listings!$C$2:$C$101,A12))</f>
        <v/>
      </c>
      <c r="F12" s="18">
        <f>IF(OR(B12=0,D12=0),"",ROUND(C12/(D12/1000),0))</f>
        <v/>
      </c>
    </row>
    <row r="13">
      <c r="A13" s="8" t="n">
        <v>8</v>
      </c>
      <c r="B13" s="8">
        <f>COUNTIFS(Listings!$C$2:$C$101,A13)</f>
        <v/>
      </c>
      <c r="C13" s="9">
        <f>IF(B13=0,"",ROUND(AVERAGEIFS(Listings!$Q$2:$Q$101,Listings!$C$2:$C$101,A13),0))</f>
        <v/>
      </c>
      <c r="D13" s="9">
        <f>IF(B13=0,"",ROUND(AVERAGEIFS(Listings!$D$2:$D$101,Listings!$C$2:$C$101,A13),0))</f>
        <v/>
      </c>
      <c r="E13" s="10">
        <f>IF(B13=0,"",AVERAGEIFS(Listings!$R$2:$R$101,Listings!$C$2:$C$101,A13))</f>
        <v/>
      </c>
      <c r="F13" s="18">
        <f>IF(OR(B13=0,D13=0),"",ROUND(C13/(D13/1000),0))</f>
        <v/>
      </c>
    </row>
    <row r="14">
      <c r="A14" s="8" t="n">
        <v>9</v>
      </c>
      <c r="B14" s="8">
        <f>COUNTIFS(Listings!$C$2:$C$101,A14)</f>
        <v/>
      </c>
      <c r="C14" s="9">
        <f>IF(B14=0,"",ROUND(AVERAGEIFS(Listings!$Q$2:$Q$101,Listings!$C$2:$C$101,A14),0))</f>
        <v/>
      </c>
      <c r="D14" s="9">
        <f>IF(B14=0,"",ROUND(AVERAGEIFS(Listings!$D$2:$D$101,Listings!$C$2:$C$101,A14),0))</f>
        <v/>
      </c>
      <c r="E14" s="10">
        <f>IF(B14=0,"",AVERAGEIFS(Listings!$R$2:$R$101,Listings!$C$2:$C$101,A14))</f>
        <v/>
      </c>
      <c r="F14" s="18">
        <f>IF(OR(B14=0,D14=0),"",ROUND(C14/(D14/1000),0))</f>
        <v/>
      </c>
    </row>
    <row r="15">
      <c r="A15" s="8" t="n">
        <v>10</v>
      </c>
      <c r="B15" s="8">
        <f>COUNTIFS(Listings!$C$2:$C$101,A15)</f>
        <v/>
      </c>
      <c r="C15" s="9">
        <f>IF(B15=0,"",ROUND(AVERAGEIFS(Listings!$Q$2:$Q$101,Listings!$C$2:$C$101,A15),0))</f>
        <v/>
      </c>
      <c r="D15" s="9">
        <f>IF(B15=0,"",ROUND(AVERAGEIFS(Listings!$D$2:$D$101,Listings!$C$2:$C$101,A15),0))</f>
        <v/>
      </c>
      <c r="E15" s="10">
        <f>IF(B15=0,"",AVERAGEIFS(Listings!$R$2:$R$101,Listings!$C$2:$C$101,A15))</f>
        <v/>
      </c>
      <c r="F15" s="18">
        <f>IF(OR(B15=0,D15=0),"",ROUND(C15/(D15/1000),0))</f>
        <v/>
      </c>
    </row>
    <row r="17">
      <c r="A17" s="19" t="inlineStr">
        <is>
          <t>Reading the table</t>
        </is>
      </c>
    </row>
    <row r="18">
      <c r="A18" s="2" t="inlineStr">
        <is>
          <t>The steep early drop then the flattening tail is the two-phase shape the model fits:</t>
        </is>
      </c>
    </row>
    <row r="19">
      <c r="A19" s="2" t="inlineStr">
        <is>
          <t>a fast rate for the first few years, a slower one after. 'Mean Price per 1k Miles' is a</t>
        </is>
      </c>
    </row>
    <row r="20">
      <c r="A20" s="2" t="inlineStr">
        <is>
          <t>sanity check, not a valuation - it rises for young cars simply because they have few miles.</t>
        </is>
      </c>
    </row>
    <row r="21">
      <c r="A21" s="2" t="inlineStr"/>
    </row>
    <row r="22">
      <c r="A22" s="2" t="inlineStr">
        <is>
          <t>Caution: with 100 cars spread over 11 ages, some age buckets hold only a handful of cars,</t>
        </is>
      </c>
    </row>
    <row r="23">
      <c r="A23" s="2" t="inlineStr">
        <is>
          <t>so a single unusual car moves that row's mean. Read the shape of the column, not any one cell.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28" customWidth="1" min="4" max="4"/>
    <col width="58" customWidth="1" min="5" max="5"/>
  </cols>
  <sheetData>
    <row r="1">
      <c r="A1" s="15" t="inlineStr">
        <is>
          <t>Calibration anchors and generating parameters</t>
        </is>
      </c>
    </row>
    <row r="3">
      <c r="A3" s="11" t="inlineStr">
        <is>
          <t>Valuation year</t>
        </is>
      </c>
      <c r="B3" s="20" t="n">
        <v>2026</v>
      </c>
      <c r="C3" s="16" t="inlineStr">
        <is>
          <t>Blue cells are inputs. Age on the Listings tab is derived from this.</t>
        </is>
      </c>
    </row>
    <row r="5">
      <c r="A5" s="3" t="inlineStr">
        <is>
          <t>Published figures used as anchors</t>
        </is>
      </c>
    </row>
    <row r="6">
      <c r="A6" s="21" t="inlineStr">
        <is>
          <t>Anchor</t>
        </is>
      </c>
      <c r="B6" s="21" t="inlineStr">
        <is>
          <t>Value</t>
        </is>
      </c>
      <c r="C6" s="21" t="inlineStr">
        <is>
          <t>Source</t>
        </is>
      </c>
    </row>
    <row r="7">
      <c r="A7" s="7" t="inlineStr">
        <is>
          <t>2026 Astra list price, entry 1.2 Turbo petrol</t>
        </is>
      </c>
      <c r="B7" s="7" t="inlineStr">
        <is>
          <t>£27,495</t>
        </is>
      </c>
      <c r="C7" s="7" t="inlineStr">
        <is>
          <t>Stellantis Media / Auto Express</t>
        </is>
      </c>
    </row>
    <row r="8">
      <c r="A8" s="7" t="inlineStr">
        <is>
          <t>2026 Astra list price, Griffin / GS / Ultimate</t>
        </is>
      </c>
      <c r="B8" s="7" t="inlineStr">
        <is>
          <t>£29,995 / £31,495 / £33,995</t>
        </is>
      </c>
      <c r="C8" s="7" t="inlineStr">
        <is>
          <t>Stellantis Media</t>
        </is>
      </c>
    </row>
    <row r="9">
      <c r="A9" s="7" t="inlineStr">
        <is>
          <t>Share of value retained at 3 years</t>
        </is>
      </c>
      <c r="B9" s="7" t="inlineStr">
        <is>
          <t>~48-52%</t>
        </is>
      </c>
      <c r="C9" s="7" t="inlineStr">
        <is>
          <t>Free Plate Check / CarBuyerIQ</t>
        </is>
      </c>
    </row>
    <row r="10">
      <c r="A10" s="7" t="inlineStr">
        <is>
          <t>Share of value retained at 5 years</t>
        </is>
      </c>
      <c r="B10" s="7" t="inlineStr">
        <is>
          <t>~42%</t>
        </is>
      </c>
      <c r="C10" s="7" t="inlineStr">
        <is>
          <t>Free Plate Check</t>
        </is>
      </c>
    </row>
    <row r="11">
      <c r="A11" s="7" t="inlineStr">
        <is>
          <t>Depreciation flattens from</t>
        </is>
      </c>
      <c r="B11" s="7" t="inlineStr">
        <is>
          <t>year 7-8</t>
        </is>
      </c>
      <c r="C11" s="7" t="inlineStr">
        <is>
          <t>CarBuyerIQ</t>
        </is>
      </c>
    </row>
    <row r="12">
      <c r="A12" s="7" t="inlineStr">
        <is>
          <t>Reported average used Astra asking price</t>
        </is>
      </c>
      <c r="B12" s="7" t="inlineStr">
        <is>
          <t>£9,117</t>
        </is>
      </c>
      <c r="C12" s="7" t="inlineStr">
        <is>
          <t>AutoUncle (all model years)</t>
        </is>
      </c>
    </row>
    <row r="13">
      <c r="A13" s="7" t="inlineStr">
        <is>
          <t>Reported average used Astra mileage</t>
        </is>
      </c>
      <c r="B13" s="7" t="inlineStr">
        <is>
          <t>22,623</t>
        </is>
      </c>
      <c r="C13" s="7" t="inlineStr">
        <is>
          <t>AutoUncle</t>
        </is>
      </c>
    </row>
    <row r="16">
      <c r="A16" s="4" t="inlineStr">
        <is>
          <t>Conflicting sources - resolved as follows</t>
        </is>
      </c>
    </row>
    <row r="17">
      <c r="A17" s="22" t="inlineStr">
        <is>
          <t>Search results also reported 2019 Astras at £10,000-£12,000 and 2020 at £13,000-£15,000.</t>
        </is>
      </c>
    </row>
    <row r="18">
      <c r="A18" s="22" t="inlineStr">
        <is>
          <t>Those figures imply ~52% retained at seven years, which contradicts the ~42%-at-five-years</t>
        </is>
      </c>
    </row>
    <row r="19">
      <c r="A19" s="22" t="inlineStr">
        <is>
          <t>anchor from the same search. The two cannot both hold. This file follows the retention-curve</t>
        </is>
      </c>
    </row>
    <row r="20">
      <c r="A20" s="22" t="inlineStr">
        <is>
          <t>anchors, which were reported consistently across sources, and treats the listing snippets as</t>
        </is>
      </c>
    </row>
    <row r="21">
      <c r="A21" s="22" t="inlineStr">
        <is>
          <t>unreliable - they likely mix trims, generations and conditions. A 2019 Astra here prices at</t>
        </is>
      </c>
    </row>
    <row r="22">
      <c r="A22" s="22" t="inlineStr">
        <is>
          <t>roughly £7,000, not £11,000. If real data says otherwise, the real data wins.</t>
        </is>
      </c>
    </row>
    <row r="25">
      <c r="A25" s="3" t="inlineStr">
        <is>
          <t>Generating parameters - fit the model and check you recover these</t>
        </is>
      </c>
    </row>
    <row r="26">
      <c r="A26" s="21" t="inlineStr">
        <is>
          <t>Age (years)</t>
        </is>
      </c>
      <c r="B26" s="21" t="inlineStr">
        <is>
          <t>Retained share of original list</t>
        </is>
      </c>
      <c r="D26" s="11" t="inlineStr">
        <is>
          <t>Other generating parameters</t>
        </is>
      </c>
    </row>
    <row r="27">
      <c r="A27" s="7" t="n">
        <v>0</v>
      </c>
      <c r="B27" s="23" t="n">
        <v>0.92</v>
      </c>
      <c r="D27" s="11" t="inlineStr">
        <is>
          <t>Mileage penalty</t>
        </is>
      </c>
      <c r="E27" s="22" t="inlineStr">
        <is>
          <t>exp(-0.045 x excess per 10k miles), clipped to [0.72, 1.22]</t>
        </is>
      </c>
    </row>
    <row r="28">
      <c r="A28" s="7" t="n">
        <v>1</v>
      </c>
      <c r="B28" s="23" t="n">
        <v>0.74</v>
      </c>
      <c r="D28" s="11" t="inlineStr">
        <is>
          <t>Expected mileage for age</t>
        </is>
      </c>
      <c r="E28" s="22" t="inlineStr">
        <is>
          <t>10,000 miles per year</t>
        </is>
      </c>
    </row>
    <row r="29">
      <c r="A29" s="7" t="n">
        <v>2</v>
      </c>
      <c r="B29" s="23" t="n">
        <v>0.62</v>
      </c>
      <c r="D29" s="11" t="inlineStr">
        <is>
          <t>Annual mileage drawn from</t>
        </is>
      </c>
      <c r="E29" s="22" t="inlineStr">
        <is>
          <t>Uniform(3,500, 21,000) - independent of age</t>
        </is>
      </c>
    </row>
    <row r="30">
      <c r="A30" s="7" t="n">
        <v>3</v>
      </c>
      <c r="B30" s="23" t="n">
        <v>0.51</v>
      </c>
      <c r="D30" s="11" t="inlineStr">
        <is>
          <t>Price noise</t>
        </is>
      </c>
      <c r="E30" s="22" t="inlineStr">
        <is>
          <t>Normal(mean 1.0, sd 4.5%)</t>
        </is>
      </c>
    </row>
    <row r="31">
      <c r="A31" s="7" t="n">
        <v>4</v>
      </c>
      <c r="B31" s="23" t="n">
        <v>0.455</v>
      </c>
      <c r="D31" s="11" t="inlineStr">
        <is>
          <t>Trim multiplier</t>
        </is>
      </c>
      <c r="E31" s="22" t="inlineStr">
        <is>
          <t>0.95 (Design) to 1.10 (Ultimate)</t>
        </is>
      </c>
    </row>
    <row r="32">
      <c r="A32" s="7" t="n">
        <v>5</v>
      </c>
      <c r="B32" s="23" t="n">
        <v>0.42</v>
      </c>
      <c r="D32" s="11" t="inlineStr">
        <is>
          <t>Fuel multiplier</t>
        </is>
      </c>
      <c r="E32" s="22" t="inlineStr">
        <is>
          <t>0.88 (Electric) to 1.06 (Hybrid)</t>
        </is>
      </c>
    </row>
    <row r="33">
      <c r="A33" s="7" t="n">
        <v>6</v>
      </c>
      <c r="B33" s="23" t="n">
        <v>0.375</v>
      </c>
      <c r="D33" s="11" t="inlineStr">
        <is>
          <t>Service history multiplier</t>
        </is>
      </c>
      <c r="E33" s="22" t="inlineStr">
        <is>
          <t>1.00 Full / 0.94 Partial / 0.87 None</t>
        </is>
      </c>
    </row>
    <row r="34">
      <c r="A34" s="7" t="n">
        <v>7</v>
      </c>
      <c r="B34" s="23" t="n">
        <v>0.335</v>
      </c>
      <c r="D34" s="11" t="inlineStr">
        <is>
          <t>Seller multiplier</t>
        </is>
      </c>
      <c r="E34" s="22" t="inlineStr">
        <is>
          <t>1.08 Franchise / 1.00 Independent / 0.90 Private</t>
        </is>
      </c>
    </row>
    <row r="35">
      <c r="A35" s="7" t="n">
        <v>8</v>
      </c>
      <c r="B35" s="23" t="n">
        <v>0.3</v>
      </c>
      <c r="D35" s="11" t="inlineStr">
        <is>
          <t>Condition multiplier</t>
        </is>
      </c>
      <c r="E35" s="22" t="inlineStr">
        <is>
          <t>1.04 Excellent / 1.00 Good / 0.92 Fair</t>
        </is>
      </c>
    </row>
    <row r="36">
      <c r="A36" s="7" t="n">
        <v>9</v>
      </c>
      <c r="B36" s="23" t="n">
        <v>0.275</v>
      </c>
      <c r="D36" s="11" t="inlineStr">
        <is>
          <t>Former keeper penalty</t>
        </is>
      </c>
      <c r="E36" s="22" t="inlineStr">
        <is>
          <t>1.5% per keeper beyond the first</t>
        </is>
      </c>
    </row>
    <row r="37">
      <c r="A37" s="7" t="n">
        <v>10</v>
      </c>
      <c r="B37" s="23" t="n">
        <v>0.255</v>
      </c>
      <c r="D37" s="11" t="inlineStr">
        <is>
          <t>Random seed</t>
        </is>
      </c>
      <c r="E37" s="22" t="inlineStr">
        <is>
          <t>20260826 - regenerating with this seed reproduces the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2026-08-26T13:19:21Z</dcterms:created>
  <dcterms:modified xsi:type="dcterms:W3CDTF">2026-08-26T13:19:21Z</dcterms:modified>
</cp:coreProperties>
</file>