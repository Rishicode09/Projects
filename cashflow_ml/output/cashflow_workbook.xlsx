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cash flow" sheetId="3" state="visible" r:id="rId3"/>
    <sheet name="Profit and loss" sheetId="4" state="visible" r:id="rId4"/>
    <sheet name="By company" sheetId="5" state="visible" r:id="rId5"/>
    <sheet name="Categories" sheetId="6" state="visible" r:id="rId6"/>
  </sheets>
  <definedNames>
    <definedName name="_xlnm.Print_Titles" localSheetId="0">'Summary'!$4:$4</definedName>
    <definedName name="_xlnm.Print_Titles" localSheetId="1">'Transactions'!$4:$4</definedName>
    <definedName name="_xlnm.Print_Titles" localSheetId="2">'Monthly cash flow'!$4:$4</definedName>
    <definedName name="_xlnm.Print_Titles" localSheetId="3">'Profit and loss'!$4:$4</definedName>
    <definedName name="_xlnm.Print_Titles" localSheetId="4">'By company'!$4:$4</definedName>
    <definedName name="_xlnm.Print_Titles" localSheetId="5">'Categories'!$4:$4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£#,##0.00;(£#,##0.00);&quot;-&quot;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A1D21"/>
      <sz val="15"/>
    </font>
    <font>
      <name val="Arial"/>
      <color rgb="006B7280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i val="1"/>
      <color rgb="006B7280"/>
      <sz val="9"/>
    </font>
    <font>
      <name val="Arial"/>
      <color rgb="001A1D21"/>
      <sz val="10"/>
    </font>
    <font>
      <name val="Arial"/>
      <b val="1"/>
      <sz val="10"/>
    </font>
    <font>
      <name val="Arial"/>
      <b val="1"/>
      <color rgb="006B7280"/>
      <sz val="9"/>
    </font>
    <font>
      <name val="Arial"/>
      <b val="1"/>
      <color rgb="001A1D21"/>
      <sz val="10"/>
    </font>
    <font>
      <name val="Arial"/>
      <b val="1"/>
      <color rgb="001A1D21"/>
      <sz val="11"/>
    </font>
    <font>
      <name val="Arial"/>
      <b val="1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FCC"/>
      </patternFill>
    </fill>
    <fill>
      <patternFill patternType="solid">
        <fgColor rgb="00F2F4F6"/>
      </patternFill>
    </fill>
  </fills>
  <borders count="3">
    <border>
      <left/>
      <right/>
      <top/>
      <bottom/>
      <diagonal/>
    </border>
    <border>
      <top style="medium">
        <color rgb="00BFC4CB"/>
      </top>
    </border>
    <border>
      <top style="thin">
        <color rgb="00BFC4CB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166" fontId="11" fillId="0" borderId="0" applyAlignment="1" pivotButton="0" quotePrefix="0" xfId="0">
      <alignment horizontal="right"/>
    </xf>
    <xf numFmtId="0" fontId="9" fillId="4" borderId="0" pivotButton="0" quotePrefix="0" xfId="0"/>
    <xf numFmtId="166" fontId="11" fillId="4" borderId="0" applyAlignment="1" pivotButton="0" quotePrefix="0" xfId="0">
      <alignment horizontal="right"/>
    </xf>
    <xf numFmtId="0" fontId="2" fillId="4" borderId="0" pivotButton="0" quotePrefix="0" xfId="0"/>
    <xf numFmtId="167" fontId="11" fillId="4" borderId="0" applyAlignment="1" pivotButton="0" quotePrefix="0" xfId="0">
      <alignment horizontal="right"/>
    </xf>
    <xf numFmtId="1" fontId="11" fillId="0" borderId="0" applyAlignment="1" pivotButton="0" quotePrefix="0" xfId="0">
      <alignment horizontal="right"/>
    </xf>
    <xf numFmtId="1" fontId="11" fillId="4" borderId="0" applyAlignment="1" pivotButton="0" quotePrefix="0" xfId="0">
      <alignment horizontal="right"/>
    </xf>
    <xf numFmtId="165" fontId="6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165" fontId="6" fillId="4" borderId="0" pivotButton="0" quotePrefix="0" xfId="0"/>
    <xf numFmtId="0" fontId="6" fillId="4" borderId="0" pivotButton="0" quotePrefix="0" xfId="0"/>
    <xf numFmtId="166" fontId="6" fillId="4" borderId="0" pivotButton="0" quotePrefix="0" xfId="0"/>
    <xf numFmtId="0" fontId="0" fillId="0" borderId="1" pivotButton="0" quotePrefix="0" xfId="0"/>
    <xf numFmtId="0" fontId="7" fillId="0" borderId="1" pivotButton="0" quotePrefix="0" xfId="0"/>
    <xf numFmtId="166" fontId="7" fillId="0" borderId="1" pivotButton="0" quotePrefix="0" xfId="0"/>
    <xf numFmtId="0" fontId="9" fillId="4" borderId="2" pivotButton="0" quotePrefix="0" xfId="0"/>
    <xf numFmtId="166" fontId="9" fillId="4" borderId="2" pivotButton="0" quotePrefix="0" xfId="0"/>
    <xf numFmtId="0" fontId="10" fillId="0" borderId="1" pivotButton="0" quotePrefix="0" xfId="0"/>
    <xf numFmtId="166" fontId="10" fillId="0" borderId="1" pivotButton="0" quotePrefix="0" xfId="0"/>
    <xf numFmtId="0" fontId="5" fillId="0" borderId="0" pivotButton="0" quotePrefix="0" xfId="0"/>
    <xf numFmtId="167" fontId="6" fillId="0" borderId="0" pivotButton="0" quotePrefix="0" xfId="0"/>
    <xf numFmtId="167" fontId="6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Transactions" displayName="tblTransactions" ref="A4:K43" headerRowCount="1">
  <autoFilter ref="A4:K43"/>
  <tableColumns count="11">
    <tableColumn id="1" name="Date"/>
    <tableColumn id="2" name="Description"/>
    <tableColumn id="3" name="Counterparty"/>
    <tableColumn id="4" name="Property"/>
    <tableColumn id="5" name="Document"/>
    <tableColumn id="6" name="Money in"/>
    <tableColumn id="7" name="Money out"/>
    <tableColumn id="8" name="Amount"/>
    <tableColumn id="9" name="Direction"/>
    <tableColumn id="10" name="Category"/>
    <tableColumn id="11" name="Month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</cols>
  <sheetData>
    <row r="1" ht="22" customHeight="1">
      <c r="A1" s="1" t="inlineStr">
        <is>
          <t>Cash In / Cash Out Summary</t>
        </is>
      </c>
    </row>
    <row r="2">
      <c r="A2" s="2" t="inlineStr">
        <is>
          <t>Every figure below is a formula. Change the Transactions sheet and this updates.</t>
        </is>
      </c>
    </row>
    <row r="3" ht="6" customHeight="1"/>
    <row r="4" ht="26" customHeight="1">
      <c r="A4" s="3" t="inlineStr">
        <is>
          <t>Measure</t>
        </is>
      </c>
      <c r="B4" s="3" t="inlineStr">
        <is>
          <t>Value</t>
        </is>
      </c>
      <c r="C4" s="3" t="inlineStr">
        <is>
          <t>Note</t>
        </is>
      </c>
    </row>
    <row r="5" ht="19" customHeight="1">
      <c r="A5" s="4" t="inlineStr">
        <is>
          <t>Cash in</t>
        </is>
      </c>
      <c r="B5" s="5">
        <f>SUM(Transactions!F5:F43)</f>
        <v/>
      </c>
      <c r="C5" s="2" t="inlineStr">
        <is>
          <t>Total receipts</t>
        </is>
      </c>
    </row>
    <row r="6" ht="19" customHeight="1">
      <c r="A6" s="6" t="inlineStr">
        <is>
          <t>Cash out</t>
        </is>
      </c>
      <c r="B6" s="7">
        <f>SUM(Transactions!G5:G43)</f>
        <v/>
      </c>
      <c r="C6" s="8" t="inlineStr">
        <is>
          <t>Total payments</t>
        </is>
      </c>
    </row>
    <row r="7" ht="19" customHeight="1">
      <c r="A7" s="4" t="inlineStr">
        <is>
          <t>Net result</t>
        </is>
      </c>
      <c r="B7" s="5">
        <f>SUM(Transactions!H5:H43)</f>
        <v/>
      </c>
      <c r="C7" s="2" t="inlineStr">
        <is>
          <t>Cash basis, not statutory profit</t>
        </is>
      </c>
    </row>
    <row r="8" ht="19" customHeight="1">
      <c r="A8" s="6" t="inlineStr">
        <is>
          <t>Cost ratio</t>
        </is>
      </c>
      <c r="B8" s="9">
        <f>SUM(Transactions!G5:G43)/SUM(Transactions!F5:F43)</f>
        <v/>
      </c>
      <c r="C8" s="8" t="inlineStr">
        <is>
          <t>Spent per £1 received</t>
        </is>
      </c>
    </row>
    <row r="9" ht="19" customHeight="1">
      <c r="A9" s="4" t="inlineStr">
        <is>
          <t>Transactions</t>
        </is>
      </c>
      <c r="B9" s="10">
        <f>COUNT(Transactions!H5:H43)</f>
        <v/>
      </c>
      <c r="C9" s="2" t="inlineStr">
        <is>
          <t>Lines in the statement</t>
        </is>
      </c>
    </row>
    <row r="10" ht="19" customHeight="1">
      <c r="A10" s="6" t="inlineStr">
        <is>
          <t>Months covered</t>
        </is>
      </c>
      <c r="B10" s="11">
        <f>COUNT('Monthly cash flow'!D5:D16)</f>
        <v/>
      </c>
      <c r="C10" s="8" t="inlineStr">
        <is>
          <t>Periods in the data</t>
        </is>
      </c>
    </row>
    <row r="11" ht="19" customHeight="1">
      <c r="A11" s="4" t="inlineStr">
        <is>
          <t>Missing documents</t>
        </is>
      </c>
      <c r="B11" s="10">
        <f>COUNTBLANK(Transactions!E5:E43)</f>
        <v/>
      </c>
      <c r="C11" s="2" t="inlineStr">
        <is>
          <t>Should be zero</t>
        </is>
      </c>
    </row>
    <row r="12" ht="19" customHeight="1">
      <c r="A12" s="6" t="inlineStr">
        <is>
          <t>Best month</t>
        </is>
      </c>
      <c r="B12" s="7">
        <f>MAX('Monthly cash flow'!D5:D16)</f>
        <v/>
      </c>
      <c r="C12" s="8" t="inlineStr">
        <is>
          <t>Largest net inflow</t>
        </is>
      </c>
    </row>
    <row r="13" ht="19" customHeight="1">
      <c r="A13" s="4" t="inlineStr">
        <is>
          <t>Worst month</t>
        </is>
      </c>
      <c r="B13" s="5">
        <f>MIN('Monthly cash flow'!D5:D16)</f>
        <v/>
      </c>
      <c r="C13" s="2" t="inlineStr">
        <is>
          <t>Largest net outflow</t>
        </is>
      </c>
    </row>
    <row r="16">
      <c r="A16" s="4" t="inlineStr">
        <is>
          <t>How to read this workbook</t>
        </is>
      </c>
    </row>
    <row r="17">
      <c r="A17" s="2" t="inlineStr">
        <is>
          <t>Transactions - the cleaned bank statement. Columns H to K are calculated; the rest is source data.</t>
        </is>
      </c>
    </row>
    <row r="18">
      <c r="A18" s="2" t="inlineStr">
        <is>
          <t>Categories - the keyword rules. Blue text on yellow means you may edit it; everything else is a formula.</t>
        </is>
      </c>
    </row>
    <row r="19">
      <c r="A19" s="2" t="inlineStr">
        <is>
          <t>Monthly cash flow - SUMIFS by month, with a running total.</t>
        </is>
      </c>
    </row>
    <row r="20">
      <c r="A20" s="2" t="inlineStr">
        <is>
          <t>Profit and loss - SUMIFS by category, income then expenditure.</t>
        </is>
      </c>
    </row>
    <row r="21">
      <c r="A21" s="2" t="inlineStr">
        <is>
          <t>By company - what has accumulated with each counterparty.</t>
        </is>
      </c>
    </row>
    <row r="22">
      <c r="A22" s="2" t="inlineStr"/>
    </row>
    <row r="23">
      <c r="A23" s="2" t="inlineStr">
        <is>
          <t>Basis: cash accounting. Receipts and payments as they cleared the bank. No accruals, prepayments, depreciation or tax.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15" customWidth="1" min="4" max="4"/>
    <col width="22" customWidth="1" min="5" max="5"/>
    <col width="13" customWidth="1" min="6" max="6"/>
    <col width="13" customWidth="1" min="7" max="7"/>
    <col width="13" customWidth="1" min="8" max="8"/>
    <col width="11" customWidth="1" min="9" max="9"/>
    <col width="22" customWidth="1" min="10" max="10"/>
    <col width="10" customWidth="1" min="11" max="11"/>
  </cols>
  <sheetData>
    <row r="1" ht="22" customHeight="1">
      <c r="A1" s="1" t="inlineStr">
        <is>
          <t>Transactions</t>
        </is>
      </c>
    </row>
    <row r="2">
      <c r="A2" s="2" t="inlineStr">
        <is>
          <t>One row per bank line. Columns H to K are calculated - do not type over them.</t>
        </is>
      </c>
    </row>
    <row r="3" ht="6" customHeight="1"/>
    <row r="4" ht="26" customHeight="1">
      <c r="A4" s="3" t="inlineStr">
        <is>
          <t>Date</t>
        </is>
      </c>
      <c r="B4" s="3" t="inlineStr">
        <is>
          <t>Description</t>
        </is>
      </c>
      <c r="C4" s="3" t="inlineStr">
        <is>
          <t>Counterparty</t>
        </is>
      </c>
      <c r="D4" s="3" t="inlineStr">
        <is>
          <t>Property</t>
        </is>
      </c>
      <c r="E4" s="3" t="inlineStr">
        <is>
          <t>Document</t>
        </is>
      </c>
      <c r="F4" s="3" t="inlineStr">
        <is>
          <t>Money in</t>
        </is>
      </c>
      <c r="G4" s="3" t="inlineStr">
        <is>
          <t>Money out</t>
        </is>
      </c>
      <c r="H4" s="3" t="inlineStr">
        <is>
          <t>Amount</t>
        </is>
      </c>
      <c r="I4" s="3" t="inlineStr">
        <is>
          <t>Direction</t>
        </is>
      </c>
      <c r="J4" s="3" t="inlineStr">
        <is>
          <t>Category</t>
        </is>
      </c>
      <c r="K4" s="3" t="inlineStr">
        <is>
          <t>Month</t>
        </is>
      </c>
    </row>
    <row r="5">
      <c r="A5" s="12" t="n">
        <v>45748</v>
      </c>
      <c r="B5" s="13" t="inlineStr">
        <is>
          <t>COMMERCIAL RENT COMM-04</t>
        </is>
      </c>
      <c r="C5" s="13" t="inlineStr">
        <is>
          <t>TENANT - KESTREL TRADING LTD</t>
        </is>
      </c>
      <c r="D5" s="13" t="inlineStr">
        <is>
          <t>COMM-04</t>
        </is>
      </c>
      <c r="E5" s="13" t="inlineStr">
        <is>
          <t>RENT-COMM-04-202504</t>
        </is>
      </c>
      <c r="F5" s="14" t="n">
        <v>3200</v>
      </c>
      <c r="G5" s="14" t="n">
        <v>0</v>
      </c>
      <c r="H5" s="14">
        <f>F5-G5</f>
        <v/>
      </c>
      <c r="I5" s="13">
        <f>IF(H5&gt;=0,"Cash in","Cash out")</f>
        <v/>
      </c>
      <c r="J5" s="13">
        <f>IFERROR(INDEX(Categories!$B$5:$B$19,MATCH(1,INDEX(--ISNUMBER(SEARCH(Categories!$A$5:$A$19,UPPER($B5))),0),0)),IF(H5&gt;=0,"Uncategorised income","Uncategorised expense"))</f>
        <v/>
      </c>
      <c r="K5" s="13">
        <f>TEXT(A5,"yyyy-mm")</f>
        <v/>
      </c>
    </row>
    <row r="6">
      <c r="A6" s="15" t="n">
        <v>45750</v>
      </c>
      <c r="B6" s="16" t="inlineStr">
        <is>
          <t>COMMERCIAL MORTGAGE INTEREST COMM-04</t>
        </is>
      </c>
      <c r="C6" s="16" t="inlineStr">
        <is>
          <t>MERIDIAN COMMERCIAL</t>
        </is>
      </c>
      <c r="D6" s="16" t="inlineStr">
        <is>
          <t>COMM-04</t>
        </is>
      </c>
      <c r="E6" s="16" t="inlineStr">
        <is>
          <t>CMTG-202504</t>
        </is>
      </c>
      <c r="F6" s="17" t="n">
        <v>0</v>
      </c>
      <c r="G6" s="17" t="n">
        <v>1450</v>
      </c>
      <c r="H6" s="17">
        <f>F6-G6</f>
        <v/>
      </c>
      <c r="I6" s="16">
        <f>IF(H6&gt;=0,"Cash in","Cash out")</f>
        <v/>
      </c>
      <c r="J6" s="16">
        <f>IFERROR(INDEX(Categories!$B$5:$B$19,MATCH(1,INDEX(--ISNUMBER(SEARCH(Categories!$A$5:$A$19,UPPER($B6))),0),0)),IF(H6&gt;=0,"Uncategorised income","Uncategorised expense"))</f>
        <v/>
      </c>
      <c r="K6" s="16">
        <f>TEXT(A6,"yyyy-mm")</f>
        <v/>
      </c>
    </row>
    <row r="7">
      <c r="A7" s="12" t="n">
        <v>45752</v>
      </c>
      <c r="B7" s="13" t="inlineStr">
        <is>
          <t>MANAGING AGENT COMM-04</t>
        </is>
      </c>
      <c r="C7" s="13" t="inlineStr">
        <is>
          <t>HORIZON COMMERCIAL</t>
        </is>
      </c>
      <c r="D7" s="13" t="inlineStr">
        <is>
          <t>COMM-04</t>
        </is>
      </c>
      <c r="E7" s="13" t="inlineStr">
        <is>
          <t>INV-HC-202504</t>
        </is>
      </c>
      <c r="F7" s="14" t="n">
        <v>0</v>
      </c>
      <c r="G7" s="14" t="n">
        <v>256</v>
      </c>
      <c r="H7" s="14">
        <f>F7-G7</f>
        <v/>
      </c>
      <c r="I7" s="13">
        <f>IF(H7&gt;=0,"Cash in","Cash out")</f>
        <v/>
      </c>
      <c r="J7" s="13">
        <f>IFERROR(INDEX(Categories!$B$5:$B$19,MATCH(1,INDEX(--ISNUMBER(SEARCH(Categories!$A$5:$A$19,UPPER($B7))),0),0)),IF(H7&gt;=0,"Uncategorised income","Uncategorised expense"))</f>
        <v/>
      </c>
      <c r="K7" s="13">
        <f>TEXT(A7,"yyyy-mm")</f>
        <v/>
      </c>
    </row>
    <row r="8">
      <c r="A8" s="15" t="n">
        <v>45778</v>
      </c>
      <c r="B8" s="16" t="inlineStr">
        <is>
          <t>COMMERCIAL RENT COMM-04</t>
        </is>
      </c>
      <c r="C8" s="16" t="inlineStr">
        <is>
          <t>TENANT - KESTREL TRADING LTD</t>
        </is>
      </c>
      <c r="D8" s="16" t="inlineStr">
        <is>
          <t>COMM-04</t>
        </is>
      </c>
      <c r="E8" s="16" t="inlineStr">
        <is>
          <t>RENT-COMM-04-202505</t>
        </is>
      </c>
      <c r="F8" s="17" t="n">
        <v>3200</v>
      </c>
      <c r="G8" s="17" t="n">
        <v>0</v>
      </c>
      <c r="H8" s="17">
        <f>F8-G8</f>
        <v/>
      </c>
      <c r="I8" s="16">
        <f>IF(H8&gt;=0,"Cash in","Cash out")</f>
        <v/>
      </c>
      <c r="J8" s="16">
        <f>IFERROR(INDEX(Categories!$B$5:$B$19,MATCH(1,INDEX(--ISNUMBER(SEARCH(Categories!$A$5:$A$19,UPPER($B8))),0),0)),IF(H8&gt;=0,"Uncategorised income","Uncategorised expense"))</f>
        <v/>
      </c>
      <c r="K8" s="16">
        <f>TEXT(A8,"yyyy-mm")</f>
        <v/>
      </c>
    </row>
    <row r="9">
      <c r="A9" s="12" t="n">
        <v>45780</v>
      </c>
      <c r="B9" s="13" t="inlineStr">
        <is>
          <t>COMMERCIAL MORTGAGE INTEREST COMM-04</t>
        </is>
      </c>
      <c r="C9" s="13" t="inlineStr">
        <is>
          <t>MERIDIAN COMMERCIAL</t>
        </is>
      </c>
      <c r="D9" s="13" t="inlineStr">
        <is>
          <t>COMM-04</t>
        </is>
      </c>
      <c r="E9" s="13" t="inlineStr">
        <is>
          <t>CMTG-202505</t>
        </is>
      </c>
      <c r="F9" s="14" t="n">
        <v>0</v>
      </c>
      <c r="G9" s="14" t="n">
        <v>1450</v>
      </c>
      <c r="H9" s="14">
        <f>F9-G9</f>
        <v/>
      </c>
      <c r="I9" s="13">
        <f>IF(H9&gt;=0,"Cash in","Cash out")</f>
        <v/>
      </c>
      <c r="J9" s="13">
        <f>IFERROR(INDEX(Categories!$B$5:$B$19,MATCH(1,INDEX(--ISNUMBER(SEARCH(Categories!$A$5:$A$19,UPPER($B9))),0),0)),IF(H9&gt;=0,"Uncategorised income","Uncategorised expense"))</f>
        <v/>
      </c>
      <c r="K9" s="13">
        <f>TEXT(A9,"yyyy-mm")</f>
        <v/>
      </c>
    </row>
    <row r="10">
      <c r="A10" s="15" t="n">
        <v>45782</v>
      </c>
      <c r="B10" s="16" t="inlineStr">
        <is>
          <t>MANAGING AGENT COMM-04</t>
        </is>
      </c>
      <c r="C10" s="16" t="inlineStr">
        <is>
          <t>HORIZON COMMERCIAL</t>
        </is>
      </c>
      <c r="D10" s="16" t="inlineStr">
        <is>
          <t>COMM-04</t>
        </is>
      </c>
      <c r="E10" s="16" t="inlineStr">
        <is>
          <t>INV-HC-202505</t>
        </is>
      </c>
      <c r="F10" s="17" t="n">
        <v>0</v>
      </c>
      <c r="G10" s="17" t="n">
        <v>256</v>
      </c>
      <c r="H10" s="17">
        <f>F10-G10</f>
        <v/>
      </c>
      <c r="I10" s="16">
        <f>IF(H10&gt;=0,"Cash in","Cash out")</f>
        <v/>
      </c>
      <c r="J10" s="16">
        <f>IFERROR(INDEX(Categories!$B$5:$B$19,MATCH(1,INDEX(--ISNUMBER(SEARCH(Categories!$A$5:$A$19,UPPER($B10))),0),0)),IF(H10&gt;=0,"Uncategorised income","Uncategorised expense"))</f>
        <v/>
      </c>
      <c r="K10" s="16">
        <f>TEXT(A10,"yyyy-mm")</f>
        <v/>
      </c>
    </row>
    <row r="11">
      <c r="A11" s="12" t="n">
        <v>45809</v>
      </c>
      <c r="B11" s="13" t="inlineStr">
        <is>
          <t>COMMERCIAL RENT COMM-04</t>
        </is>
      </c>
      <c r="C11" s="13" t="inlineStr">
        <is>
          <t>TENANT - KESTREL TRADING LTD</t>
        </is>
      </c>
      <c r="D11" s="13" t="inlineStr">
        <is>
          <t>COMM-04</t>
        </is>
      </c>
      <c r="E11" s="13" t="inlineStr">
        <is>
          <t>RENT-COMM-04-202506</t>
        </is>
      </c>
      <c r="F11" s="14" t="n">
        <v>3200</v>
      </c>
      <c r="G11" s="14" t="n">
        <v>0</v>
      </c>
      <c r="H11" s="14">
        <f>F11-G11</f>
        <v/>
      </c>
      <c r="I11" s="13">
        <f>IF(H11&gt;=0,"Cash in","Cash out")</f>
        <v/>
      </c>
      <c r="J11" s="13">
        <f>IFERROR(INDEX(Categories!$B$5:$B$19,MATCH(1,INDEX(--ISNUMBER(SEARCH(Categories!$A$5:$A$19,UPPER($B11))),0),0)),IF(H11&gt;=0,"Uncategorised income","Uncategorised expense"))</f>
        <v/>
      </c>
      <c r="K11" s="13">
        <f>TEXT(A11,"yyyy-mm")</f>
        <v/>
      </c>
    </row>
    <row r="12">
      <c r="A12" s="15" t="n">
        <v>45811</v>
      </c>
      <c r="B12" s="16" t="inlineStr">
        <is>
          <t>COMMERCIAL MORTGAGE INTEREST COMM-04</t>
        </is>
      </c>
      <c r="C12" s="16" t="inlineStr">
        <is>
          <t>MERIDIAN COMMERCIAL</t>
        </is>
      </c>
      <c r="D12" s="16" t="inlineStr">
        <is>
          <t>COMM-04</t>
        </is>
      </c>
      <c r="E12" s="16" t="inlineStr">
        <is>
          <t>CMTG-202506</t>
        </is>
      </c>
      <c r="F12" s="17" t="n">
        <v>0</v>
      </c>
      <c r="G12" s="17" t="n">
        <v>1450</v>
      </c>
      <c r="H12" s="17">
        <f>F12-G12</f>
        <v/>
      </c>
      <c r="I12" s="16">
        <f>IF(H12&gt;=0,"Cash in","Cash out")</f>
        <v/>
      </c>
      <c r="J12" s="16">
        <f>IFERROR(INDEX(Categories!$B$5:$B$19,MATCH(1,INDEX(--ISNUMBER(SEARCH(Categories!$A$5:$A$19,UPPER($B12))),0),0)),IF(H12&gt;=0,"Uncategorised income","Uncategorised expense"))</f>
        <v/>
      </c>
      <c r="K12" s="16">
        <f>TEXT(A12,"yyyy-mm")</f>
        <v/>
      </c>
    </row>
    <row r="13">
      <c r="A13" s="12" t="n">
        <v>45813</v>
      </c>
      <c r="B13" s="13" t="inlineStr">
        <is>
          <t>MANAGING AGENT COMM-04</t>
        </is>
      </c>
      <c r="C13" s="13" t="inlineStr">
        <is>
          <t>HORIZON COMMERCIAL</t>
        </is>
      </c>
      <c r="D13" s="13" t="inlineStr">
        <is>
          <t>COMM-04</t>
        </is>
      </c>
      <c r="E13" s="13" t="inlineStr">
        <is>
          <t>INV-HC-202506</t>
        </is>
      </c>
      <c r="F13" s="14" t="n">
        <v>0</v>
      </c>
      <c r="G13" s="14" t="n">
        <v>256</v>
      </c>
      <c r="H13" s="14">
        <f>F13-G13</f>
        <v/>
      </c>
      <c r="I13" s="13">
        <f>IF(H13&gt;=0,"Cash in","Cash out")</f>
        <v/>
      </c>
      <c r="J13" s="13">
        <f>IFERROR(INDEX(Categories!$B$5:$B$19,MATCH(1,INDEX(--ISNUMBER(SEARCH(Categories!$A$5:$A$19,UPPER($B13))),0),0)),IF(H13&gt;=0,"Uncategorised income","Uncategorised expense"))</f>
        <v/>
      </c>
      <c r="K13" s="13">
        <f>TEXT(A13,"yyyy-mm")</f>
        <v/>
      </c>
    </row>
    <row r="14">
      <c r="A14" s="15" t="n">
        <v>45838</v>
      </c>
      <c r="B14" s="16" t="inlineStr">
        <is>
          <t>DIRECTORS REMUNERATION</t>
        </is>
      </c>
      <c r="C14" s="16" t="inlineStr">
        <is>
          <t>R MEHRA</t>
        </is>
      </c>
      <c r="D14" s="16" t="inlineStr">
        <is>
          <t>Company-wide</t>
        </is>
      </c>
      <c r="E14" s="16" t="inlineStr">
        <is>
          <t>PAYROLL-2025-06</t>
        </is>
      </c>
      <c r="F14" s="17" t="n">
        <v>0</v>
      </c>
      <c r="G14" s="17" t="n">
        <v>9100</v>
      </c>
      <c r="H14" s="17">
        <f>F14-G14</f>
        <v/>
      </c>
      <c r="I14" s="16">
        <f>IF(H14&gt;=0,"Cash in","Cash out")</f>
        <v/>
      </c>
      <c r="J14" s="16">
        <f>IFERROR(INDEX(Categories!$B$5:$B$19,MATCH(1,INDEX(--ISNUMBER(SEARCH(Categories!$A$5:$A$19,UPPER($B14))),0),0)),IF(H14&gt;=0,"Uncategorised income","Uncategorised expense"))</f>
        <v/>
      </c>
      <c r="K14" s="16">
        <f>TEXT(A14,"yyyy-mm")</f>
        <v/>
      </c>
    </row>
    <row r="15">
      <c r="A15" s="12" t="n">
        <v>45839</v>
      </c>
      <c r="B15" s="13" t="inlineStr">
        <is>
          <t>COMMERCIAL RENT COMM-04</t>
        </is>
      </c>
      <c r="C15" s="13" t="inlineStr">
        <is>
          <t>TENANT - KESTREL TRADING LTD</t>
        </is>
      </c>
      <c r="D15" s="13" t="inlineStr">
        <is>
          <t>COMM-04</t>
        </is>
      </c>
      <c r="E15" s="13" t="inlineStr">
        <is>
          <t>RENT-COMM-04-202507</t>
        </is>
      </c>
      <c r="F15" s="14" t="n">
        <v>3200</v>
      </c>
      <c r="G15" s="14" t="n">
        <v>0</v>
      </c>
      <c r="H15" s="14">
        <f>F15-G15</f>
        <v/>
      </c>
      <c r="I15" s="13">
        <f>IF(H15&gt;=0,"Cash in","Cash out")</f>
        <v/>
      </c>
      <c r="J15" s="13">
        <f>IFERROR(INDEX(Categories!$B$5:$B$19,MATCH(1,INDEX(--ISNUMBER(SEARCH(Categories!$A$5:$A$19,UPPER($B15))),0),0)),IF(H15&gt;=0,"Uncategorised income","Uncategorised expense"))</f>
        <v/>
      </c>
      <c r="K15" s="13">
        <f>TEXT(A15,"yyyy-mm")</f>
        <v/>
      </c>
    </row>
    <row r="16">
      <c r="A16" s="15" t="n">
        <v>45841</v>
      </c>
      <c r="B16" s="16" t="inlineStr">
        <is>
          <t>COMMERCIAL MORTGAGE INTEREST COMM-04</t>
        </is>
      </c>
      <c r="C16" s="16" t="inlineStr">
        <is>
          <t>MERIDIAN COMMERCIAL</t>
        </is>
      </c>
      <c r="D16" s="16" t="inlineStr">
        <is>
          <t>COMM-04</t>
        </is>
      </c>
      <c r="E16" s="16" t="inlineStr">
        <is>
          <t>CMTG-202507</t>
        </is>
      </c>
      <c r="F16" s="17" t="n">
        <v>0</v>
      </c>
      <c r="G16" s="17" t="n">
        <v>1450</v>
      </c>
      <c r="H16" s="17">
        <f>F16-G16</f>
        <v/>
      </c>
      <c r="I16" s="16">
        <f>IF(H16&gt;=0,"Cash in","Cash out")</f>
        <v/>
      </c>
      <c r="J16" s="16">
        <f>IFERROR(INDEX(Categories!$B$5:$B$19,MATCH(1,INDEX(--ISNUMBER(SEARCH(Categories!$A$5:$A$19,UPPER($B16))),0),0)),IF(H16&gt;=0,"Uncategorised income","Uncategorised expense"))</f>
        <v/>
      </c>
      <c r="K16" s="16">
        <f>TEXT(A16,"yyyy-mm")</f>
        <v/>
      </c>
    </row>
    <row r="17">
      <c r="A17" s="12" t="n">
        <v>45843</v>
      </c>
      <c r="B17" s="13" t="inlineStr">
        <is>
          <t>MANAGING AGENT COMM-04</t>
        </is>
      </c>
      <c r="C17" s="13" t="inlineStr">
        <is>
          <t>HORIZON COMMERCIAL</t>
        </is>
      </c>
      <c r="D17" s="13" t="inlineStr">
        <is>
          <t>COMM-04</t>
        </is>
      </c>
      <c r="E17" s="13" t="inlineStr">
        <is>
          <t>INV-HC-202507</t>
        </is>
      </c>
      <c r="F17" s="14" t="n">
        <v>0</v>
      </c>
      <c r="G17" s="14" t="n">
        <v>256</v>
      </c>
      <c r="H17" s="14">
        <f>F17-G17</f>
        <v/>
      </c>
      <c r="I17" s="13">
        <f>IF(H17&gt;=0,"Cash in","Cash out")</f>
        <v/>
      </c>
      <c r="J17" s="13">
        <f>IFERROR(INDEX(Categories!$B$5:$B$19,MATCH(1,INDEX(--ISNUMBER(SEARCH(Categories!$A$5:$A$19,UPPER($B17))),0),0)),IF(H17&gt;=0,"Uncategorised income","Uncategorised expense"))</f>
        <v/>
      </c>
      <c r="K17" s="13">
        <f>TEXT(A17,"yyyy-mm")</f>
        <v/>
      </c>
    </row>
    <row r="18">
      <c r="A18" s="15" t="n">
        <v>45853</v>
      </c>
      <c r="B18" s="16" t="inlineStr">
        <is>
          <t>BUILDINGS INSURANCE COMMERCIAL</t>
        </is>
      </c>
      <c r="C18" s="16" t="inlineStr">
        <is>
          <t>ALBION INSURANCE</t>
        </is>
      </c>
      <c r="D18" s="16" t="inlineStr">
        <is>
          <t>COMM-04</t>
        </is>
      </c>
      <c r="E18" s="16" t="inlineStr">
        <is>
          <t>POL-COMM-2025</t>
        </is>
      </c>
      <c r="F18" s="17" t="n">
        <v>0</v>
      </c>
      <c r="G18" s="17" t="n">
        <v>1250</v>
      </c>
      <c r="H18" s="17">
        <f>F18-G18</f>
        <v/>
      </c>
      <c r="I18" s="16">
        <f>IF(H18&gt;=0,"Cash in","Cash out")</f>
        <v/>
      </c>
      <c r="J18" s="16">
        <f>IFERROR(INDEX(Categories!$B$5:$B$19,MATCH(1,INDEX(--ISNUMBER(SEARCH(Categories!$A$5:$A$19,UPPER($B18))),0),0)),IF(H18&gt;=0,"Uncategorised income","Uncategorised expense"))</f>
        <v/>
      </c>
      <c r="K18" s="16">
        <f>TEXT(A18,"yyyy-mm")</f>
        <v/>
      </c>
    </row>
    <row r="19">
      <c r="A19" s="12" t="n">
        <v>45870</v>
      </c>
      <c r="B19" s="13" t="inlineStr">
        <is>
          <t>COMMERCIAL RENT COMM-04</t>
        </is>
      </c>
      <c r="C19" s="13" t="inlineStr">
        <is>
          <t>TENANT - KESTREL TRADING LTD</t>
        </is>
      </c>
      <c r="D19" s="13" t="inlineStr">
        <is>
          <t>COMM-04</t>
        </is>
      </c>
      <c r="E19" s="13" t="inlineStr">
        <is>
          <t>RENT-COMM-04-202508</t>
        </is>
      </c>
      <c r="F19" s="14" t="n">
        <v>3200</v>
      </c>
      <c r="G19" s="14" t="n">
        <v>0</v>
      </c>
      <c r="H19" s="14">
        <f>F19-G19</f>
        <v/>
      </c>
      <c r="I19" s="13">
        <f>IF(H19&gt;=0,"Cash in","Cash out")</f>
        <v/>
      </c>
      <c r="J19" s="13">
        <f>IFERROR(INDEX(Categories!$B$5:$B$19,MATCH(1,INDEX(--ISNUMBER(SEARCH(Categories!$A$5:$A$19,UPPER($B19))),0),0)),IF(H19&gt;=0,"Uncategorised income","Uncategorised expense"))</f>
        <v/>
      </c>
      <c r="K19" s="13">
        <f>TEXT(A19,"yyyy-mm")</f>
        <v/>
      </c>
    </row>
    <row r="20">
      <c r="A20" s="15" t="n">
        <v>45872</v>
      </c>
      <c r="B20" s="16" t="inlineStr">
        <is>
          <t>COMMERCIAL MORTGAGE INTEREST COMM-04</t>
        </is>
      </c>
      <c r="C20" s="16" t="inlineStr">
        <is>
          <t>MERIDIAN COMMERCIAL</t>
        </is>
      </c>
      <c r="D20" s="16" t="inlineStr">
        <is>
          <t>COMM-04</t>
        </is>
      </c>
      <c r="E20" s="16" t="inlineStr">
        <is>
          <t>CMTG-202508</t>
        </is>
      </c>
      <c r="F20" s="17" t="n">
        <v>0</v>
      </c>
      <c r="G20" s="17" t="n">
        <v>1450</v>
      </c>
      <c r="H20" s="17">
        <f>F20-G20</f>
        <v/>
      </c>
      <c r="I20" s="16">
        <f>IF(H20&gt;=0,"Cash in","Cash out")</f>
        <v/>
      </c>
      <c r="J20" s="16">
        <f>IFERROR(INDEX(Categories!$B$5:$B$19,MATCH(1,INDEX(--ISNUMBER(SEARCH(Categories!$A$5:$A$19,UPPER($B20))),0),0)),IF(H20&gt;=0,"Uncategorised income","Uncategorised expense"))</f>
        <v/>
      </c>
      <c r="K20" s="16">
        <f>TEXT(A20,"yyyy-mm")</f>
        <v/>
      </c>
    </row>
    <row r="21">
      <c r="A21" s="12" t="n">
        <v>45874</v>
      </c>
      <c r="B21" s="13" t="inlineStr">
        <is>
          <t>MANAGING AGENT COMM-04</t>
        </is>
      </c>
      <c r="C21" s="13" t="inlineStr">
        <is>
          <t>HORIZON COMMERCIAL</t>
        </is>
      </c>
      <c r="D21" s="13" t="inlineStr">
        <is>
          <t>COMM-04</t>
        </is>
      </c>
      <c r="E21" s="13" t="inlineStr">
        <is>
          <t>INV-HC-202508</t>
        </is>
      </c>
      <c r="F21" s="14" t="n">
        <v>0</v>
      </c>
      <c r="G21" s="14" t="n">
        <v>256</v>
      </c>
      <c r="H21" s="14">
        <f>F21-G21</f>
        <v/>
      </c>
      <c r="I21" s="13">
        <f>IF(H21&gt;=0,"Cash in","Cash out")</f>
        <v/>
      </c>
      <c r="J21" s="13">
        <f>IFERROR(INDEX(Categories!$B$5:$B$19,MATCH(1,INDEX(--ISNUMBER(SEARCH(Categories!$A$5:$A$19,UPPER($B21))),0),0)),IF(H21&gt;=0,"Uncategorised income","Uncategorised expense"))</f>
        <v/>
      </c>
      <c r="K21" s="13">
        <f>TEXT(A21,"yyyy-mm")</f>
        <v/>
      </c>
    </row>
    <row r="22">
      <c r="A22" s="15" t="n">
        <v>45901</v>
      </c>
      <c r="B22" s="16" t="inlineStr">
        <is>
          <t>COMMERCIAL RENT COMM-04</t>
        </is>
      </c>
      <c r="C22" s="16" t="inlineStr">
        <is>
          <t>TENANT - KESTREL TRADING LTD</t>
        </is>
      </c>
      <c r="D22" s="16" t="inlineStr">
        <is>
          <t>COMM-04</t>
        </is>
      </c>
      <c r="E22" s="16" t="inlineStr">
        <is>
          <t>RENT-COMM-04-202509</t>
        </is>
      </c>
      <c r="F22" s="17" t="n">
        <v>3200</v>
      </c>
      <c r="G22" s="17" t="n">
        <v>0</v>
      </c>
      <c r="H22" s="17">
        <f>F22-G22</f>
        <v/>
      </c>
      <c r="I22" s="16">
        <f>IF(H22&gt;=0,"Cash in","Cash out")</f>
        <v/>
      </c>
      <c r="J22" s="16">
        <f>IFERROR(INDEX(Categories!$B$5:$B$19,MATCH(1,INDEX(--ISNUMBER(SEARCH(Categories!$A$5:$A$19,UPPER($B22))),0),0)),IF(H22&gt;=0,"Uncategorised income","Uncategorised expense"))</f>
        <v/>
      </c>
      <c r="K22" s="16">
        <f>TEXT(A22,"yyyy-mm")</f>
        <v/>
      </c>
    </row>
    <row r="23">
      <c r="A23" s="12" t="n">
        <v>45903</v>
      </c>
      <c r="B23" s="13" t="inlineStr">
        <is>
          <t>COMMERCIAL MORTGAGE INTEREST COMM-04</t>
        </is>
      </c>
      <c r="C23" s="13" t="inlineStr">
        <is>
          <t>MERIDIAN COMMERCIAL</t>
        </is>
      </c>
      <c r="D23" s="13" t="inlineStr">
        <is>
          <t>COMM-04</t>
        </is>
      </c>
      <c r="E23" s="13" t="inlineStr">
        <is>
          <t>CMTG-202509</t>
        </is>
      </c>
      <c r="F23" s="14" t="n">
        <v>0</v>
      </c>
      <c r="G23" s="14" t="n">
        <v>1450</v>
      </c>
      <c r="H23" s="14">
        <f>F23-G23</f>
        <v/>
      </c>
      <c r="I23" s="13">
        <f>IF(H23&gt;=0,"Cash in","Cash out")</f>
        <v/>
      </c>
      <c r="J23" s="13">
        <f>IFERROR(INDEX(Categories!$B$5:$B$19,MATCH(1,INDEX(--ISNUMBER(SEARCH(Categories!$A$5:$A$19,UPPER($B23))),0),0)),IF(H23&gt;=0,"Uncategorised income","Uncategorised expense"))</f>
        <v/>
      </c>
      <c r="K23" s="13">
        <f>TEXT(A23,"yyyy-mm")</f>
        <v/>
      </c>
    </row>
    <row r="24">
      <c r="A24" s="15" t="n">
        <v>45905</v>
      </c>
      <c r="B24" s="16" t="inlineStr">
        <is>
          <t>MANAGING AGENT COMM-04</t>
        </is>
      </c>
      <c r="C24" s="16" t="inlineStr">
        <is>
          <t>HORIZON COMMERCIAL</t>
        </is>
      </c>
      <c r="D24" s="16" t="inlineStr">
        <is>
          <t>COMM-04</t>
        </is>
      </c>
      <c r="E24" s="16" t="inlineStr">
        <is>
          <t>INV-HC-202509</t>
        </is>
      </c>
      <c r="F24" s="17" t="n">
        <v>0</v>
      </c>
      <c r="G24" s="17" t="n">
        <v>256</v>
      </c>
      <c r="H24" s="17">
        <f>F24-G24</f>
        <v/>
      </c>
      <c r="I24" s="16">
        <f>IF(H24&gt;=0,"Cash in","Cash out")</f>
        <v/>
      </c>
      <c r="J24" s="16">
        <f>IFERROR(INDEX(Categories!$B$5:$B$19,MATCH(1,INDEX(--ISNUMBER(SEARCH(Categories!$A$5:$A$19,UPPER($B24))),0),0)),IF(H24&gt;=0,"Uncategorised income","Uncategorised expense"))</f>
        <v/>
      </c>
      <c r="K24" s="16">
        <f>TEXT(A24,"yyyy-mm")</f>
        <v/>
      </c>
    </row>
    <row r="25">
      <c r="A25" s="12" t="n">
        <v>45931</v>
      </c>
      <c r="B25" s="13" t="inlineStr">
        <is>
          <t>COMMERCIAL RENT COMM-04</t>
        </is>
      </c>
      <c r="C25" s="13" t="inlineStr">
        <is>
          <t>TENANT - KESTREL TRADING LTD</t>
        </is>
      </c>
      <c r="D25" s="13" t="inlineStr">
        <is>
          <t>COMM-04</t>
        </is>
      </c>
      <c r="E25" s="13" t="inlineStr">
        <is>
          <t>RENT-COMM-04-202510</t>
        </is>
      </c>
      <c r="F25" s="14" t="n">
        <v>3200</v>
      </c>
      <c r="G25" s="14" t="n">
        <v>0</v>
      </c>
      <c r="H25" s="14">
        <f>F25-G25</f>
        <v/>
      </c>
      <c r="I25" s="13">
        <f>IF(H25&gt;=0,"Cash in","Cash out")</f>
        <v/>
      </c>
      <c r="J25" s="13">
        <f>IFERROR(INDEX(Categories!$B$5:$B$19,MATCH(1,INDEX(--ISNUMBER(SEARCH(Categories!$A$5:$A$19,UPPER($B25))),0),0)),IF(H25&gt;=0,"Uncategorised income","Uncategorised expense"))</f>
        <v/>
      </c>
      <c r="K25" s="13">
        <f>TEXT(A25,"yyyy-mm")</f>
        <v/>
      </c>
    </row>
    <row r="26">
      <c r="A26" s="15" t="n">
        <v>45933</v>
      </c>
      <c r="B26" s="16" t="inlineStr">
        <is>
          <t>COMMERCIAL MORTGAGE INTEREST COMM-04</t>
        </is>
      </c>
      <c r="C26" s="16" t="inlineStr">
        <is>
          <t>MERIDIAN COMMERCIAL</t>
        </is>
      </c>
      <c r="D26" s="16" t="inlineStr">
        <is>
          <t>COMM-04</t>
        </is>
      </c>
      <c r="E26" s="16" t="inlineStr">
        <is>
          <t>CMTG-202510</t>
        </is>
      </c>
      <c r="F26" s="17" t="n">
        <v>0</v>
      </c>
      <c r="G26" s="17" t="n">
        <v>1450</v>
      </c>
      <c r="H26" s="17">
        <f>F26-G26</f>
        <v/>
      </c>
      <c r="I26" s="16">
        <f>IF(H26&gt;=0,"Cash in","Cash out")</f>
        <v/>
      </c>
      <c r="J26" s="16">
        <f>IFERROR(INDEX(Categories!$B$5:$B$19,MATCH(1,INDEX(--ISNUMBER(SEARCH(Categories!$A$5:$A$19,UPPER($B26))),0),0)),IF(H26&gt;=0,"Uncategorised income","Uncategorised expense"))</f>
        <v/>
      </c>
      <c r="K26" s="16">
        <f>TEXT(A26,"yyyy-mm")</f>
        <v/>
      </c>
    </row>
    <row r="27">
      <c r="A27" s="12" t="n">
        <v>45935</v>
      </c>
      <c r="B27" s="13" t="inlineStr">
        <is>
          <t>MANAGING AGENT COMM-04</t>
        </is>
      </c>
      <c r="C27" s="13" t="inlineStr">
        <is>
          <t>HORIZON COMMERCIAL</t>
        </is>
      </c>
      <c r="D27" s="13" t="inlineStr">
        <is>
          <t>COMM-04</t>
        </is>
      </c>
      <c r="E27" s="13" t="inlineStr">
        <is>
          <t>INV-HC-202510</t>
        </is>
      </c>
      <c r="F27" s="14" t="n">
        <v>0</v>
      </c>
      <c r="G27" s="14" t="n">
        <v>256</v>
      </c>
      <c r="H27" s="14">
        <f>F27-G27</f>
        <v/>
      </c>
      <c r="I27" s="13">
        <f>IF(H27&gt;=0,"Cash in","Cash out")</f>
        <v/>
      </c>
      <c r="J27" s="13">
        <f>IFERROR(INDEX(Categories!$B$5:$B$19,MATCH(1,INDEX(--ISNUMBER(SEARCH(Categories!$A$5:$A$19,UPPER($B27))),0),0)),IF(H27&gt;=0,"Uncategorised income","Uncategorised expense"))</f>
        <v/>
      </c>
      <c r="K27" s="13">
        <f>TEXT(A27,"yyyy-mm")</f>
        <v/>
      </c>
    </row>
    <row r="28">
      <c r="A28" s="15" t="n">
        <v>45962</v>
      </c>
      <c r="B28" s="16" t="inlineStr">
        <is>
          <t>COMMERCIAL RENT COMM-04</t>
        </is>
      </c>
      <c r="C28" s="16" t="inlineStr">
        <is>
          <t>TENANT - KESTREL TRADING LTD</t>
        </is>
      </c>
      <c r="D28" s="16" t="inlineStr">
        <is>
          <t>COMM-04</t>
        </is>
      </c>
      <c r="E28" s="16" t="inlineStr">
        <is>
          <t>RENT-COMM-04-202511</t>
        </is>
      </c>
      <c r="F28" s="17" t="n">
        <v>3200</v>
      </c>
      <c r="G28" s="17" t="n">
        <v>0</v>
      </c>
      <c r="H28" s="17">
        <f>F28-G28</f>
        <v/>
      </c>
      <c r="I28" s="16">
        <f>IF(H28&gt;=0,"Cash in","Cash out")</f>
        <v/>
      </c>
      <c r="J28" s="16">
        <f>IFERROR(INDEX(Categories!$B$5:$B$19,MATCH(1,INDEX(--ISNUMBER(SEARCH(Categories!$A$5:$A$19,UPPER($B28))),0),0)),IF(H28&gt;=0,"Uncategorised income","Uncategorised expense"))</f>
        <v/>
      </c>
      <c r="K28" s="16">
        <f>TEXT(A28,"yyyy-mm")</f>
        <v/>
      </c>
    </row>
    <row r="29">
      <c r="A29" s="12" t="n">
        <v>45964</v>
      </c>
      <c r="B29" s="13" t="inlineStr">
        <is>
          <t>COMMERCIAL MORTGAGE INTEREST COMM-04</t>
        </is>
      </c>
      <c r="C29" s="13" t="inlineStr">
        <is>
          <t>MERIDIAN COMMERCIAL</t>
        </is>
      </c>
      <c r="D29" s="13" t="inlineStr">
        <is>
          <t>COMM-04</t>
        </is>
      </c>
      <c r="E29" s="13" t="inlineStr">
        <is>
          <t>CMTG-202511</t>
        </is>
      </c>
      <c r="F29" s="14" t="n">
        <v>0</v>
      </c>
      <c r="G29" s="14" t="n">
        <v>1450</v>
      </c>
      <c r="H29" s="14">
        <f>F29-G29</f>
        <v/>
      </c>
      <c r="I29" s="13">
        <f>IF(H29&gt;=0,"Cash in","Cash out")</f>
        <v/>
      </c>
      <c r="J29" s="13">
        <f>IFERROR(INDEX(Categories!$B$5:$B$19,MATCH(1,INDEX(--ISNUMBER(SEARCH(Categories!$A$5:$A$19,UPPER($B29))),0),0)),IF(H29&gt;=0,"Uncategorised income","Uncategorised expense"))</f>
        <v/>
      </c>
      <c r="K29" s="13">
        <f>TEXT(A29,"yyyy-mm")</f>
        <v/>
      </c>
    </row>
    <row r="30">
      <c r="A30" s="15" t="n">
        <v>45966</v>
      </c>
      <c r="B30" s="16" t="inlineStr">
        <is>
          <t>MANAGING AGENT COMM-04</t>
        </is>
      </c>
      <c r="C30" s="16" t="inlineStr">
        <is>
          <t>HORIZON COMMERCIAL</t>
        </is>
      </c>
      <c r="D30" s="16" t="inlineStr">
        <is>
          <t>COMM-04</t>
        </is>
      </c>
      <c r="E30" s="16" t="inlineStr">
        <is>
          <t>INV-HC-202511</t>
        </is>
      </c>
      <c r="F30" s="17" t="n">
        <v>0</v>
      </c>
      <c r="G30" s="17" t="n">
        <v>256</v>
      </c>
      <c r="H30" s="17">
        <f>F30-G30</f>
        <v/>
      </c>
      <c r="I30" s="16">
        <f>IF(H30&gt;=0,"Cash in","Cash out")</f>
        <v/>
      </c>
      <c r="J30" s="16">
        <f>IFERROR(INDEX(Categories!$B$5:$B$19,MATCH(1,INDEX(--ISNUMBER(SEARCH(Categories!$A$5:$A$19,UPPER($B30))),0),0)),IF(H30&gt;=0,"Uncategorised income","Uncategorised expense"))</f>
        <v/>
      </c>
      <c r="K30" s="16">
        <f>TEXT(A30,"yyyy-mm")</f>
        <v/>
      </c>
    </row>
    <row r="31">
      <c r="A31" s="12" t="n">
        <v>45992</v>
      </c>
      <c r="B31" s="13" t="inlineStr">
        <is>
          <t>COMMERCIAL RENT COMM-04</t>
        </is>
      </c>
      <c r="C31" s="13" t="inlineStr">
        <is>
          <t>TENANT - KESTREL TRADING LTD</t>
        </is>
      </c>
      <c r="D31" s="13" t="inlineStr">
        <is>
          <t>COMM-04</t>
        </is>
      </c>
      <c r="E31" s="13" t="inlineStr">
        <is>
          <t>RENT-COMM-04-202512</t>
        </is>
      </c>
      <c r="F31" s="14" t="n">
        <v>3200</v>
      </c>
      <c r="G31" s="14" t="n">
        <v>0</v>
      </c>
      <c r="H31" s="14">
        <f>F31-G31</f>
        <v/>
      </c>
      <c r="I31" s="13">
        <f>IF(H31&gt;=0,"Cash in","Cash out")</f>
        <v/>
      </c>
      <c r="J31" s="13">
        <f>IFERROR(INDEX(Categories!$B$5:$B$19,MATCH(1,INDEX(--ISNUMBER(SEARCH(Categories!$A$5:$A$19,UPPER($B31))),0),0)),IF(H31&gt;=0,"Uncategorised income","Uncategorised expense"))</f>
        <v/>
      </c>
      <c r="K31" s="13">
        <f>TEXT(A31,"yyyy-mm")</f>
        <v/>
      </c>
    </row>
    <row r="32">
      <c r="A32" s="15" t="n">
        <v>45994</v>
      </c>
      <c r="B32" s="16" t="inlineStr">
        <is>
          <t>COMMERCIAL MORTGAGE INTEREST COMM-04</t>
        </is>
      </c>
      <c r="C32" s="16" t="inlineStr">
        <is>
          <t>MERIDIAN COMMERCIAL</t>
        </is>
      </c>
      <c r="D32" s="16" t="inlineStr">
        <is>
          <t>COMM-04</t>
        </is>
      </c>
      <c r="E32" s="16" t="inlineStr">
        <is>
          <t>CMTG-202512</t>
        </is>
      </c>
      <c r="F32" s="17" t="n">
        <v>0</v>
      </c>
      <c r="G32" s="17" t="n">
        <v>1450</v>
      </c>
      <c r="H32" s="17">
        <f>F32-G32</f>
        <v/>
      </c>
      <c r="I32" s="16">
        <f>IF(H32&gt;=0,"Cash in","Cash out")</f>
        <v/>
      </c>
      <c r="J32" s="16">
        <f>IFERROR(INDEX(Categories!$B$5:$B$19,MATCH(1,INDEX(--ISNUMBER(SEARCH(Categories!$A$5:$A$19,UPPER($B32))),0),0)),IF(H32&gt;=0,"Uncategorised income","Uncategorised expense"))</f>
        <v/>
      </c>
      <c r="K32" s="16">
        <f>TEXT(A32,"yyyy-mm")</f>
        <v/>
      </c>
    </row>
    <row r="33">
      <c r="A33" s="12" t="n">
        <v>45996</v>
      </c>
      <c r="B33" s="13" t="inlineStr">
        <is>
          <t>MANAGING AGENT COMM-04</t>
        </is>
      </c>
      <c r="C33" s="13" t="inlineStr">
        <is>
          <t>HORIZON COMMERCIAL</t>
        </is>
      </c>
      <c r="D33" s="13" t="inlineStr">
        <is>
          <t>COMM-04</t>
        </is>
      </c>
      <c r="E33" s="13" t="inlineStr">
        <is>
          <t>INV-HC-202512</t>
        </is>
      </c>
      <c r="F33" s="14" t="n">
        <v>0</v>
      </c>
      <c r="G33" s="14" t="n">
        <v>256</v>
      </c>
      <c r="H33" s="14">
        <f>F33-G33</f>
        <v/>
      </c>
      <c r="I33" s="13">
        <f>IF(H33&gt;=0,"Cash in","Cash out")</f>
        <v/>
      </c>
      <c r="J33" s="13">
        <f>IFERROR(INDEX(Categories!$B$5:$B$19,MATCH(1,INDEX(--ISNUMBER(SEARCH(Categories!$A$5:$A$19,UPPER($B33))),0),0)),IF(H33&gt;=0,"Uncategorised income","Uncategorised expense"))</f>
        <v/>
      </c>
      <c r="K33" s="13">
        <f>TEXT(A33,"yyyy-mm")</f>
        <v/>
      </c>
    </row>
    <row r="34">
      <c r="A34" s="15" t="n">
        <v>46023</v>
      </c>
      <c r="B34" s="16" t="inlineStr">
        <is>
          <t>COMMERCIAL RENT COMM-04</t>
        </is>
      </c>
      <c r="C34" s="16" t="inlineStr">
        <is>
          <t>TENANT - KESTREL TRADING LTD</t>
        </is>
      </c>
      <c r="D34" s="16" t="inlineStr">
        <is>
          <t>COMM-04</t>
        </is>
      </c>
      <c r="E34" s="16" t="inlineStr">
        <is>
          <t>RENT-COMM-04-202601</t>
        </is>
      </c>
      <c r="F34" s="17" t="n">
        <v>3200</v>
      </c>
      <c r="G34" s="17" t="n">
        <v>0</v>
      </c>
      <c r="H34" s="17">
        <f>F34-G34</f>
        <v/>
      </c>
      <c r="I34" s="16">
        <f>IF(H34&gt;=0,"Cash in","Cash out")</f>
        <v/>
      </c>
      <c r="J34" s="16">
        <f>IFERROR(INDEX(Categories!$B$5:$B$19,MATCH(1,INDEX(--ISNUMBER(SEARCH(Categories!$A$5:$A$19,UPPER($B34))),0),0)),IF(H34&gt;=0,"Uncategorised income","Uncategorised expense"))</f>
        <v/>
      </c>
      <c r="K34" s="16">
        <f>TEXT(A34,"yyyy-mm")</f>
        <v/>
      </c>
    </row>
    <row r="35">
      <c r="A35" s="12" t="n">
        <v>46025</v>
      </c>
      <c r="B35" s="13" t="inlineStr">
        <is>
          <t>COMMERCIAL MORTGAGE INTEREST COMM-04</t>
        </is>
      </c>
      <c r="C35" s="13" t="inlineStr">
        <is>
          <t>MERIDIAN COMMERCIAL</t>
        </is>
      </c>
      <c r="D35" s="13" t="inlineStr">
        <is>
          <t>COMM-04</t>
        </is>
      </c>
      <c r="E35" s="13" t="inlineStr">
        <is>
          <t>CMTG-202601</t>
        </is>
      </c>
      <c r="F35" s="14" t="n">
        <v>0</v>
      </c>
      <c r="G35" s="14" t="n">
        <v>1450</v>
      </c>
      <c r="H35" s="14">
        <f>F35-G35</f>
        <v/>
      </c>
      <c r="I35" s="13">
        <f>IF(H35&gt;=0,"Cash in","Cash out")</f>
        <v/>
      </c>
      <c r="J35" s="13">
        <f>IFERROR(INDEX(Categories!$B$5:$B$19,MATCH(1,INDEX(--ISNUMBER(SEARCH(Categories!$A$5:$A$19,UPPER($B35))),0),0)),IF(H35&gt;=0,"Uncategorised income","Uncategorised expense"))</f>
        <v/>
      </c>
      <c r="K35" s="13">
        <f>TEXT(A35,"yyyy-mm")</f>
        <v/>
      </c>
    </row>
    <row r="36">
      <c r="A36" s="15" t="n">
        <v>46027</v>
      </c>
      <c r="B36" s="16" t="inlineStr">
        <is>
          <t>MANAGING AGENT COMM-04</t>
        </is>
      </c>
      <c r="C36" s="16" t="inlineStr">
        <is>
          <t>HORIZON COMMERCIAL</t>
        </is>
      </c>
      <c r="D36" s="16" t="inlineStr">
        <is>
          <t>COMM-04</t>
        </is>
      </c>
      <c r="E36" s="16" t="inlineStr">
        <is>
          <t>INV-HC-202601</t>
        </is>
      </c>
      <c r="F36" s="17" t="n">
        <v>0</v>
      </c>
      <c r="G36" s="17" t="n">
        <v>256</v>
      </c>
      <c r="H36" s="17">
        <f>F36-G36</f>
        <v/>
      </c>
      <c r="I36" s="16">
        <f>IF(H36&gt;=0,"Cash in","Cash out")</f>
        <v/>
      </c>
      <c r="J36" s="16">
        <f>IFERROR(INDEX(Categories!$B$5:$B$19,MATCH(1,INDEX(--ISNUMBER(SEARCH(Categories!$A$5:$A$19,UPPER($B36))),0),0)),IF(H36&gt;=0,"Uncategorised income","Uncategorised expense"))</f>
        <v/>
      </c>
      <c r="K36" s="16">
        <f>TEXT(A36,"yyyy-mm")</f>
        <v/>
      </c>
    </row>
    <row r="37">
      <c r="A37" s="12" t="n">
        <v>46054</v>
      </c>
      <c r="B37" s="13" t="inlineStr">
        <is>
          <t>COMMERCIAL RENT COMM-04</t>
        </is>
      </c>
      <c r="C37" s="13" t="inlineStr">
        <is>
          <t>TENANT - KESTREL TRADING LTD</t>
        </is>
      </c>
      <c r="D37" s="13" t="inlineStr">
        <is>
          <t>COMM-04</t>
        </is>
      </c>
      <c r="E37" s="13" t="inlineStr">
        <is>
          <t>RENT-COMM-04-202602</t>
        </is>
      </c>
      <c r="F37" s="14" t="n">
        <v>3200</v>
      </c>
      <c r="G37" s="14" t="n">
        <v>0</v>
      </c>
      <c r="H37" s="14">
        <f>F37-G37</f>
        <v/>
      </c>
      <c r="I37" s="13">
        <f>IF(H37&gt;=0,"Cash in","Cash out")</f>
        <v/>
      </c>
      <c r="J37" s="13">
        <f>IFERROR(INDEX(Categories!$B$5:$B$19,MATCH(1,INDEX(--ISNUMBER(SEARCH(Categories!$A$5:$A$19,UPPER($B37))),0),0)),IF(H37&gt;=0,"Uncategorised income","Uncategorised expense"))</f>
        <v/>
      </c>
      <c r="K37" s="13">
        <f>TEXT(A37,"yyyy-mm")</f>
        <v/>
      </c>
    </row>
    <row r="38">
      <c r="A38" s="15" t="n">
        <v>46056</v>
      </c>
      <c r="B38" s="16" t="inlineStr">
        <is>
          <t>COMMERCIAL MORTGAGE INTEREST COMM-04</t>
        </is>
      </c>
      <c r="C38" s="16" t="inlineStr">
        <is>
          <t>MERIDIAN COMMERCIAL</t>
        </is>
      </c>
      <c r="D38" s="16" t="inlineStr">
        <is>
          <t>COMM-04</t>
        </is>
      </c>
      <c r="E38" s="16" t="inlineStr">
        <is>
          <t>CMTG-202602</t>
        </is>
      </c>
      <c r="F38" s="17" t="n">
        <v>0</v>
      </c>
      <c r="G38" s="17" t="n">
        <v>1450</v>
      </c>
      <c r="H38" s="17">
        <f>F38-G38</f>
        <v/>
      </c>
      <c r="I38" s="16">
        <f>IF(H38&gt;=0,"Cash in","Cash out")</f>
        <v/>
      </c>
      <c r="J38" s="16">
        <f>IFERROR(INDEX(Categories!$B$5:$B$19,MATCH(1,INDEX(--ISNUMBER(SEARCH(Categories!$A$5:$A$19,UPPER($B38))),0),0)),IF(H38&gt;=0,"Uncategorised income","Uncategorised expense"))</f>
        <v/>
      </c>
      <c r="K38" s="16">
        <f>TEXT(A38,"yyyy-mm")</f>
        <v/>
      </c>
    </row>
    <row r="39">
      <c r="A39" s="12" t="n">
        <v>46058</v>
      </c>
      <c r="B39" s="13" t="inlineStr">
        <is>
          <t>MANAGING AGENT COMM-04</t>
        </is>
      </c>
      <c r="C39" s="13" t="inlineStr">
        <is>
          <t>HORIZON COMMERCIAL</t>
        </is>
      </c>
      <c r="D39" s="13" t="inlineStr">
        <is>
          <t>COMM-04</t>
        </is>
      </c>
      <c r="E39" s="13" t="inlineStr">
        <is>
          <t>INV-HC-202602</t>
        </is>
      </c>
      <c r="F39" s="14" t="n">
        <v>0</v>
      </c>
      <c r="G39" s="14" t="n">
        <v>256</v>
      </c>
      <c r="H39" s="14">
        <f>F39-G39</f>
        <v/>
      </c>
      <c r="I39" s="13">
        <f>IF(H39&gt;=0,"Cash in","Cash out")</f>
        <v/>
      </c>
      <c r="J39" s="13">
        <f>IFERROR(INDEX(Categories!$B$5:$B$19,MATCH(1,INDEX(--ISNUMBER(SEARCH(Categories!$A$5:$A$19,UPPER($B39))),0),0)),IF(H39&gt;=0,"Uncategorised income","Uncategorised expense"))</f>
        <v/>
      </c>
      <c r="K39" s="13">
        <f>TEXT(A39,"yyyy-mm")</f>
        <v/>
      </c>
    </row>
    <row r="40">
      <c r="A40" s="15" t="n">
        <v>46063</v>
      </c>
      <c r="B40" s="16" t="inlineStr">
        <is>
          <t>ACCOUNTANCY FEES</t>
        </is>
      </c>
      <c r="C40" s="16" t="inlineStr">
        <is>
          <t>WHITFIELD &amp; CO</t>
        </is>
      </c>
      <c r="D40" s="16" t="inlineStr">
        <is>
          <t>Company-wide</t>
        </is>
      </c>
      <c r="E40" s="16" t="inlineStr">
        <is>
          <t>INV-WC-2310</t>
        </is>
      </c>
      <c r="F40" s="17" t="n">
        <v>0</v>
      </c>
      <c r="G40" s="17" t="n">
        <v>2100</v>
      </c>
      <c r="H40" s="17">
        <f>F40-G40</f>
        <v/>
      </c>
      <c r="I40" s="16">
        <f>IF(H40&gt;=0,"Cash in","Cash out")</f>
        <v/>
      </c>
      <c r="J40" s="16">
        <f>IFERROR(INDEX(Categories!$B$5:$B$19,MATCH(1,INDEX(--ISNUMBER(SEARCH(Categories!$A$5:$A$19,UPPER($B40))),0),0)),IF(H40&gt;=0,"Uncategorised income","Uncategorised expense"))</f>
        <v/>
      </c>
      <c r="K40" s="16">
        <f>TEXT(A40,"yyyy-mm")</f>
        <v/>
      </c>
    </row>
    <row r="41">
      <c r="A41" s="12" t="n">
        <v>46082</v>
      </c>
      <c r="B41" s="13" t="inlineStr">
        <is>
          <t>COMMERCIAL RENT COMM-04</t>
        </is>
      </c>
      <c r="C41" s="13" t="inlineStr">
        <is>
          <t>TENANT - KESTREL TRADING LTD</t>
        </is>
      </c>
      <c r="D41" s="13" t="inlineStr">
        <is>
          <t>COMM-04</t>
        </is>
      </c>
      <c r="E41" s="13" t="inlineStr">
        <is>
          <t>RENT-COMM-04-202603</t>
        </is>
      </c>
      <c r="F41" s="14" t="n">
        <v>3200</v>
      </c>
      <c r="G41" s="14" t="n">
        <v>0</v>
      </c>
      <c r="H41" s="14">
        <f>F41-G41</f>
        <v/>
      </c>
      <c r="I41" s="13">
        <f>IF(H41&gt;=0,"Cash in","Cash out")</f>
        <v/>
      </c>
      <c r="J41" s="13">
        <f>IFERROR(INDEX(Categories!$B$5:$B$19,MATCH(1,INDEX(--ISNUMBER(SEARCH(Categories!$A$5:$A$19,UPPER($B41))),0),0)),IF(H41&gt;=0,"Uncategorised income","Uncategorised expense"))</f>
        <v/>
      </c>
      <c r="K41" s="13">
        <f>TEXT(A41,"yyyy-mm")</f>
        <v/>
      </c>
    </row>
    <row r="42">
      <c r="A42" s="15" t="n">
        <v>46084</v>
      </c>
      <c r="B42" s="16" t="inlineStr">
        <is>
          <t>COMMERCIAL MORTGAGE INTEREST COMM-04</t>
        </is>
      </c>
      <c r="C42" s="16" t="inlineStr">
        <is>
          <t>MERIDIAN COMMERCIAL</t>
        </is>
      </c>
      <c r="D42" s="16" t="inlineStr">
        <is>
          <t>COMM-04</t>
        </is>
      </c>
      <c r="E42" s="16" t="inlineStr">
        <is>
          <t>CMTG-202603</t>
        </is>
      </c>
      <c r="F42" s="17" t="n">
        <v>0</v>
      </c>
      <c r="G42" s="17" t="n">
        <v>1450</v>
      </c>
      <c r="H42" s="17">
        <f>F42-G42</f>
        <v/>
      </c>
      <c r="I42" s="16">
        <f>IF(H42&gt;=0,"Cash in","Cash out")</f>
        <v/>
      </c>
      <c r="J42" s="16">
        <f>IFERROR(INDEX(Categories!$B$5:$B$19,MATCH(1,INDEX(--ISNUMBER(SEARCH(Categories!$A$5:$A$19,UPPER($B42))),0),0)),IF(H42&gt;=0,"Uncategorised income","Uncategorised expense"))</f>
        <v/>
      </c>
      <c r="K42" s="16">
        <f>TEXT(A42,"yyyy-mm")</f>
        <v/>
      </c>
    </row>
    <row r="43">
      <c r="A43" s="12" t="n">
        <v>46086</v>
      </c>
      <c r="B43" s="13" t="inlineStr">
        <is>
          <t>MANAGING AGENT COMM-04</t>
        </is>
      </c>
      <c r="C43" s="13" t="inlineStr">
        <is>
          <t>HORIZON COMMERCIAL</t>
        </is>
      </c>
      <c r="D43" s="13" t="inlineStr">
        <is>
          <t>COMM-04</t>
        </is>
      </c>
      <c r="E43" s="13" t="inlineStr">
        <is>
          <t>INV-HC-202603</t>
        </is>
      </c>
      <c r="F43" s="14" t="n">
        <v>0</v>
      </c>
      <c r="G43" s="14" t="n">
        <v>256</v>
      </c>
      <c r="H43" s="14">
        <f>F43-G43</f>
        <v/>
      </c>
      <c r="I43" s="13">
        <f>IF(H43&gt;=0,"Cash in","Cash out")</f>
        <v/>
      </c>
      <c r="J43" s="13">
        <f>IFERROR(INDEX(Categories!$B$5:$B$19,MATCH(1,INDEX(--ISNUMBER(SEARCH(Categories!$A$5:$A$19,UPPER($B43))),0),0)),IF(H43&gt;=0,"Uncategorised income","Uncategorised expense"))</f>
        <v/>
      </c>
      <c r="K43" s="13">
        <f>TEXT(A43,"yyyy-mm")</f>
        <v/>
      </c>
    </row>
    <row r="44">
      <c r="A44" s="18" t="n"/>
      <c r="B44" s="18" t="n"/>
      <c r="C44" s="18" t="n"/>
      <c r="D44" s="18" t="n"/>
      <c r="E44" s="19" t="inlineStr">
        <is>
          <t>Total</t>
        </is>
      </c>
      <c r="F44" s="20">
        <f>SUM(F5:F43)</f>
        <v/>
      </c>
      <c r="G44" s="20">
        <f>SUM(G5:G43)</f>
        <v/>
      </c>
      <c r="H44" s="20">
        <f>SUM(H5:H43)</f>
        <v/>
      </c>
      <c r="I44" s="18" t="n"/>
      <c r="J44" s="18" t="n"/>
      <c r="K44" s="18" t="n"/>
    </row>
  </sheetData>
  <printOptions horizontalCentered="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6" customWidth="1" min="5" max="5"/>
  </cols>
  <sheetData>
    <row r="1" ht="22" customHeight="1">
      <c r="A1" s="1" t="inlineStr">
        <is>
          <t>Monthly cash flow</t>
        </is>
      </c>
    </row>
    <row r="2">
      <c r="A2" s="2" t="inlineStr">
        <is>
          <t>Totalled straight from the Transactions sheet with SUMIFS.</t>
        </is>
      </c>
    </row>
    <row r="3" ht="6" customHeight="1"/>
    <row r="4" ht="26" customHeight="1">
      <c r="A4" s="3" t="inlineStr">
        <is>
          <t>Month</t>
        </is>
      </c>
      <c r="B4" s="3" t="inlineStr">
        <is>
          <t>Cash in</t>
        </is>
      </c>
      <c r="C4" s="3" t="inlineStr">
        <is>
          <t>Cash out</t>
        </is>
      </c>
      <c r="D4" s="3" t="inlineStr">
        <is>
          <t>Net movement</t>
        </is>
      </c>
      <c r="E4" s="3" t="inlineStr">
        <is>
          <t>Running total</t>
        </is>
      </c>
    </row>
    <row r="5">
      <c r="A5" s="13" t="inlineStr">
        <is>
          <t>2025-04</t>
        </is>
      </c>
      <c r="B5" s="14">
        <f>SUMIFS(Transactions!$F$5:$F$43,Transactions!$K$5:$K$43,$A5)</f>
        <v/>
      </c>
      <c r="C5" s="14">
        <f>SUMIFS(Transactions!$G$5:$G$43,Transactions!$K$5:$K$43,$A5)</f>
        <v/>
      </c>
      <c r="D5" s="14">
        <f>B5-C5</f>
        <v/>
      </c>
      <c r="E5" s="14">
        <f>D5</f>
        <v/>
      </c>
    </row>
    <row r="6">
      <c r="A6" s="16" t="inlineStr">
        <is>
          <t>2025-05</t>
        </is>
      </c>
      <c r="B6" s="17">
        <f>SUMIFS(Transactions!$F$5:$F$43,Transactions!$K$5:$K$43,$A6)</f>
        <v/>
      </c>
      <c r="C6" s="17">
        <f>SUMIFS(Transactions!$G$5:$G$43,Transactions!$K$5:$K$43,$A6)</f>
        <v/>
      </c>
      <c r="D6" s="17">
        <f>B6-C6</f>
        <v/>
      </c>
      <c r="E6" s="17">
        <f>E5+D6</f>
        <v/>
      </c>
    </row>
    <row r="7">
      <c r="A7" s="13" t="inlineStr">
        <is>
          <t>2025-06</t>
        </is>
      </c>
      <c r="B7" s="14">
        <f>SUMIFS(Transactions!$F$5:$F$43,Transactions!$K$5:$K$43,$A7)</f>
        <v/>
      </c>
      <c r="C7" s="14">
        <f>SUMIFS(Transactions!$G$5:$G$43,Transactions!$K$5:$K$43,$A7)</f>
        <v/>
      </c>
      <c r="D7" s="14">
        <f>B7-C7</f>
        <v/>
      </c>
      <c r="E7" s="14">
        <f>E6+D7</f>
        <v/>
      </c>
    </row>
    <row r="8">
      <c r="A8" s="16" t="inlineStr">
        <is>
          <t>2025-07</t>
        </is>
      </c>
      <c r="B8" s="17">
        <f>SUMIFS(Transactions!$F$5:$F$43,Transactions!$K$5:$K$43,$A8)</f>
        <v/>
      </c>
      <c r="C8" s="17">
        <f>SUMIFS(Transactions!$G$5:$G$43,Transactions!$K$5:$K$43,$A8)</f>
        <v/>
      </c>
      <c r="D8" s="17">
        <f>B8-C8</f>
        <v/>
      </c>
      <c r="E8" s="17">
        <f>E7+D8</f>
        <v/>
      </c>
    </row>
    <row r="9">
      <c r="A9" s="13" t="inlineStr">
        <is>
          <t>2025-08</t>
        </is>
      </c>
      <c r="B9" s="14">
        <f>SUMIFS(Transactions!$F$5:$F$43,Transactions!$K$5:$K$43,$A9)</f>
        <v/>
      </c>
      <c r="C9" s="14">
        <f>SUMIFS(Transactions!$G$5:$G$43,Transactions!$K$5:$K$43,$A9)</f>
        <v/>
      </c>
      <c r="D9" s="14">
        <f>B9-C9</f>
        <v/>
      </c>
      <c r="E9" s="14">
        <f>E8+D9</f>
        <v/>
      </c>
    </row>
    <row r="10">
      <c r="A10" s="16" t="inlineStr">
        <is>
          <t>2025-09</t>
        </is>
      </c>
      <c r="B10" s="17">
        <f>SUMIFS(Transactions!$F$5:$F$43,Transactions!$K$5:$K$43,$A10)</f>
        <v/>
      </c>
      <c r="C10" s="17">
        <f>SUMIFS(Transactions!$G$5:$G$43,Transactions!$K$5:$K$43,$A10)</f>
        <v/>
      </c>
      <c r="D10" s="17">
        <f>B10-C10</f>
        <v/>
      </c>
      <c r="E10" s="17">
        <f>E9+D10</f>
        <v/>
      </c>
    </row>
    <row r="11">
      <c r="A11" s="13" t="inlineStr">
        <is>
          <t>2025-10</t>
        </is>
      </c>
      <c r="B11" s="14">
        <f>SUMIFS(Transactions!$F$5:$F$43,Transactions!$K$5:$K$43,$A11)</f>
        <v/>
      </c>
      <c r="C11" s="14">
        <f>SUMIFS(Transactions!$G$5:$G$43,Transactions!$K$5:$K$43,$A11)</f>
        <v/>
      </c>
      <c r="D11" s="14">
        <f>B11-C11</f>
        <v/>
      </c>
      <c r="E11" s="14">
        <f>E10+D11</f>
        <v/>
      </c>
    </row>
    <row r="12">
      <c r="A12" s="16" t="inlineStr">
        <is>
          <t>2025-11</t>
        </is>
      </c>
      <c r="B12" s="17">
        <f>SUMIFS(Transactions!$F$5:$F$43,Transactions!$K$5:$K$43,$A12)</f>
        <v/>
      </c>
      <c r="C12" s="17">
        <f>SUMIFS(Transactions!$G$5:$G$43,Transactions!$K$5:$K$43,$A12)</f>
        <v/>
      </c>
      <c r="D12" s="17">
        <f>B12-C12</f>
        <v/>
      </c>
      <c r="E12" s="17">
        <f>E11+D12</f>
        <v/>
      </c>
    </row>
    <row r="13">
      <c r="A13" s="13" t="inlineStr">
        <is>
          <t>2025-12</t>
        </is>
      </c>
      <c r="B13" s="14">
        <f>SUMIFS(Transactions!$F$5:$F$43,Transactions!$K$5:$K$43,$A13)</f>
        <v/>
      </c>
      <c r="C13" s="14">
        <f>SUMIFS(Transactions!$G$5:$G$43,Transactions!$K$5:$K$43,$A13)</f>
        <v/>
      </c>
      <c r="D13" s="14">
        <f>B13-C13</f>
        <v/>
      </c>
      <c r="E13" s="14">
        <f>E12+D13</f>
        <v/>
      </c>
    </row>
    <row r="14">
      <c r="A14" s="16" t="inlineStr">
        <is>
          <t>2026-01</t>
        </is>
      </c>
      <c r="B14" s="17">
        <f>SUMIFS(Transactions!$F$5:$F$43,Transactions!$K$5:$K$43,$A14)</f>
        <v/>
      </c>
      <c r="C14" s="17">
        <f>SUMIFS(Transactions!$G$5:$G$43,Transactions!$K$5:$K$43,$A14)</f>
        <v/>
      </c>
      <c r="D14" s="17">
        <f>B14-C14</f>
        <v/>
      </c>
      <c r="E14" s="17">
        <f>E13+D14</f>
        <v/>
      </c>
    </row>
    <row r="15">
      <c r="A15" s="13" t="inlineStr">
        <is>
          <t>2026-02</t>
        </is>
      </c>
      <c r="B15" s="14">
        <f>SUMIFS(Transactions!$F$5:$F$43,Transactions!$K$5:$K$43,$A15)</f>
        <v/>
      </c>
      <c r="C15" s="14">
        <f>SUMIFS(Transactions!$G$5:$G$43,Transactions!$K$5:$K$43,$A15)</f>
        <v/>
      </c>
      <c r="D15" s="14">
        <f>B15-C15</f>
        <v/>
      </c>
      <c r="E15" s="14">
        <f>E14+D15</f>
        <v/>
      </c>
    </row>
    <row r="16">
      <c r="A16" s="16" t="inlineStr">
        <is>
          <t>2026-03</t>
        </is>
      </c>
      <c r="B16" s="17">
        <f>SUMIFS(Transactions!$F$5:$F$43,Transactions!$K$5:$K$43,$A16)</f>
        <v/>
      </c>
      <c r="C16" s="17">
        <f>SUMIFS(Transactions!$G$5:$G$43,Transactions!$K$5:$K$43,$A16)</f>
        <v/>
      </c>
      <c r="D16" s="17">
        <f>B16-C16</f>
        <v/>
      </c>
      <c r="E16" s="17">
        <f>E15+D16</f>
        <v/>
      </c>
    </row>
    <row r="17">
      <c r="A17" s="19" t="inlineStr">
        <is>
          <t>Total</t>
        </is>
      </c>
      <c r="B17" s="20">
        <f>SUM(B5:B16)</f>
        <v/>
      </c>
      <c r="C17" s="20">
        <f>SUM(C5:C16)</f>
        <v/>
      </c>
      <c r="D17" s="20">
        <f>SUM(D5:D16)</f>
        <v/>
      </c>
      <c r="E17" s="18" t="n"/>
    </row>
  </sheetData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 ht="22" customHeight="1">
      <c r="A1" s="1" t="inlineStr">
        <is>
          <t>Profit and loss</t>
        </is>
      </c>
    </row>
    <row r="2">
      <c r="A2" s="2" t="inlineStr">
        <is>
          <t>Cash basis: receipts and payments as they cleared the bank. Not a statutory profit - no accruals, prepayments, depreciation or tax.</t>
        </is>
      </c>
    </row>
    <row r="3" ht="6" customHeight="1"/>
    <row r="4" ht="26" customHeight="1">
      <c r="A4" s="3" t="inlineStr"/>
      <c r="B4" s="3" t="inlineStr">
        <is>
          <t>Transactions</t>
        </is>
      </c>
      <c r="C4" s="3" t="inlineStr">
        <is>
          <t>Amount</t>
        </is>
      </c>
    </row>
    <row r="5">
      <c r="A5" s="13" t="inlineStr">
        <is>
          <t>INCOME</t>
        </is>
      </c>
      <c r="B5" s="13" t="n"/>
      <c r="C5" s="14" t="n"/>
    </row>
    <row r="6">
      <c r="A6" s="13" t="inlineStr">
        <is>
          <t xml:space="preserve">    Rental income</t>
        </is>
      </c>
      <c r="B6" s="13">
        <f>COUNTIFS(Transactions!$J$5:$J$43,"Rental income")</f>
        <v/>
      </c>
      <c r="C6" s="14">
        <f>SUMIFS(Transactions!$H$5:$H$43,Transactions!$J$5:$J$43,"Rental income")</f>
        <v/>
      </c>
    </row>
    <row r="7">
      <c r="A7" s="21" t="inlineStr">
        <is>
          <t>Total income</t>
        </is>
      </c>
      <c r="B7" s="21" t="n"/>
      <c r="C7" s="22">
        <f>SUM(C6:C6)</f>
        <v/>
      </c>
    </row>
    <row r="8">
      <c r="A8" s="13" t="n"/>
      <c r="B8" s="13" t="n"/>
      <c r="C8" s="14" t="n"/>
    </row>
    <row r="9">
      <c r="A9" s="13" t="inlineStr">
        <is>
          <t>EXPENDITURE</t>
        </is>
      </c>
      <c r="B9" s="13" t="n"/>
      <c r="C9" s="14" t="n"/>
    </row>
    <row r="10">
      <c r="A10" s="13" t="inlineStr">
        <is>
          <t xml:space="preserve">    Mortgage interest</t>
        </is>
      </c>
      <c r="B10" s="13">
        <f>COUNTIFS(Transactions!$J$5:$J$43,"Mortgage interest")</f>
        <v/>
      </c>
      <c r="C10" s="14">
        <f>SUMIFS(Transactions!$H$5:$H$43,Transactions!$J$5:$J$43,"Mortgage interest")</f>
        <v/>
      </c>
    </row>
    <row r="11">
      <c r="A11" s="13" t="inlineStr">
        <is>
          <t xml:space="preserve">    Managing agent fees</t>
        </is>
      </c>
      <c r="B11" s="13">
        <f>COUNTIFS(Transactions!$J$5:$J$43,"Managing agent fees")</f>
        <v/>
      </c>
      <c r="C11" s="14">
        <f>SUMIFS(Transactions!$H$5:$H$43,Transactions!$J$5:$J$43,"Managing agent fees")</f>
        <v/>
      </c>
    </row>
    <row r="12">
      <c r="A12" s="13" t="inlineStr">
        <is>
          <t xml:space="preserve">    Directors remuneration</t>
        </is>
      </c>
      <c r="B12" s="13">
        <f>COUNTIFS(Transactions!$J$5:$J$43,"Directors remuneration")</f>
        <v/>
      </c>
      <c r="C12" s="14">
        <f>SUMIFS(Transactions!$H$5:$H$43,Transactions!$J$5:$J$43,"Directors remuneration")</f>
        <v/>
      </c>
    </row>
    <row r="13">
      <c r="A13" s="13" t="inlineStr">
        <is>
          <t xml:space="preserve">    Insurance</t>
        </is>
      </c>
      <c r="B13" s="13">
        <f>COUNTIFS(Transactions!$J$5:$J$43,"Insurance")</f>
        <v/>
      </c>
      <c r="C13" s="14">
        <f>SUMIFS(Transactions!$H$5:$H$43,Transactions!$J$5:$J$43,"Insurance")</f>
        <v/>
      </c>
    </row>
    <row r="14">
      <c r="A14" s="13" t="inlineStr">
        <is>
          <t xml:space="preserve">    Professional fees</t>
        </is>
      </c>
      <c r="B14" s="13">
        <f>COUNTIFS(Transactions!$J$5:$J$43,"Professional fees")</f>
        <v/>
      </c>
      <c r="C14" s="14">
        <f>SUMIFS(Transactions!$H$5:$H$43,Transactions!$J$5:$J$43,"Professional fees")</f>
        <v/>
      </c>
    </row>
    <row r="15">
      <c r="A15" s="21" t="inlineStr">
        <is>
          <t>Total expenditure</t>
        </is>
      </c>
      <c r="B15" s="21" t="n"/>
      <c r="C15" s="22">
        <f>SUM(C10:C14)</f>
        <v/>
      </c>
    </row>
    <row r="16">
      <c r="A16" s="13" t="n"/>
      <c r="B16" s="13" t="n"/>
      <c r="C16" s="14" t="n"/>
    </row>
    <row r="17">
      <c r="A17" s="23" t="inlineStr">
        <is>
          <t>NET RESULT FOR THE PERIOD</t>
        </is>
      </c>
      <c r="B17" s="23" t="n"/>
      <c r="C17" s="24">
        <f>C7+C15</f>
        <v/>
      </c>
    </row>
    <row r="18">
      <c r="A18" s="18" t="n"/>
      <c r="B18" s="18" t="n"/>
      <c r="C18" s="18" t="n"/>
    </row>
    <row r="20">
      <c r="A20" s="25" t="inlineStr">
        <is>
          <t>Assumption: every bank line is revenue in nature. No capital items, loan drawdowns or repayments appear in this statement.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22" customHeight="1">
      <c r="A1" s="1" t="inlineStr">
        <is>
          <t>Accumulated by company</t>
        </is>
      </c>
    </row>
    <row r="2">
      <c r="A2" s="2" t="inlineStr">
        <is>
          <t>Everything paid to or received from each counterparty.</t>
        </is>
      </c>
    </row>
    <row r="3" ht="6" customHeight="1"/>
    <row r="4" ht="26" customHeight="1">
      <c r="A4" s="3" t="inlineStr">
        <is>
          <t>Company</t>
        </is>
      </c>
      <c r="B4" s="3" t="inlineStr">
        <is>
          <t>Transactions</t>
        </is>
      </c>
      <c r="C4" s="3" t="inlineStr">
        <is>
          <t>Money in</t>
        </is>
      </c>
      <c r="D4" s="3" t="inlineStr">
        <is>
          <t>Money out</t>
        </is>
      </c>
      <c r="E4" s="3" t="inlineStr">
        <is>
          <t>Accumulated</t>
        </is>
      </c>
      <c r="F4" s="3" t="inlineStr">
        <is>
          <t>Share of direction</t>
        </is>
      </c>
    </row>
    <row r="5">
      <c r="A5" s="13" t="inlineStr">
        <is>
          <t>TENANT - KESTREL TRADING LTD</t>
        </is>
      </c>
      <c r="B5" s="13">
        <f>COUNTIFS(Transactions!$C$5:$C$43,$A5)</f>
        <v/>
      </c>
      <c r="C5" s="14">
        <f>SUMIFS(Transactions!$F$5:$F$43,Transactions!$C$5:$C$43,$A5)</f>
        <v/>
      </c>
      <c r="D5" s="14">
        <f>SUMIFS(Transactions!$G$5:$G$43,Transactions!$C$5:$C$43,$A5)</f>
        <v/>
      </c>
      <c r="E5" s="14">
        <f>SUMIFS(Transactions!$H$5:$H$43,Transactions!$C$5:$C$43,$A5)</f>
        <v/>
      </c>
      <c r="F5" s="26">
        <f>IF(E5&gt;=0,C5/SUM(Transactions!$F$5:$F$43),D5/SUM(Transactions!$G$5:$G$43))</f>
        <v/>
      </c>
    </row>
    <row r="6">
      <c r="A6" s="16" t="inlineStr">
        <is>
          <t>MERIDIAN COMMERCIAL</t>
        </is>
      </c>
      <c r="B6" s="16">
        <f>COUNTIFS(Transactions!$C$5:$C$43,$A6)</f>
        <v/>
      </c>
      <c r="C6" s="17">
        <f>SUMIFS(Transactions!$F$5:$F$43,Transactions!$C$5:$C$43,$A6)</f>
        <v/>
      </c>
      <c r="D6" s="17">
        <f>SUMIFS(Transactions!$G$5:$G$43,Transactions!$C$5:$C$43,$A6)</f>
        <v/>
      </c>
      <c r="E6" s="17">
        <f>SUMIFS(Transactions!$H$5:$H$43,Transactions!$C$5:$C$43,$A6)</f>
        <v/>
      </c>
      <c r="F6" s="27">
        <f>IF(E6&gt;=0,C6/SUM(Transactions!$F$5:$F$43),D6/SUM(Transactions!$G$5:$G$43))</f>
        <v/>
      </c>
    </row>
    <row r="7">
      <c r="A7" s="13" t="inlineStr">
        <is>
          <t>R MEHRA</t>
        </is>
      </c>
      <c r="B7" s="13">
        <f>COUNTIFS(Transactions!$C$5:$C$43,$A7)</f>
        <v/>
      </c>
      <c r="C7" s="14">
        <f>SUMIFS(Transactions!$F$5:$F$43,Transactions!$C$5:$C$43,$A7)</f>
        <v/>
      </c>
      <c r="D7" s="14">
        <f>SUMIFS(Transactions!$G$5:$G$43,Transactions!$C$5:$C$43,$A7)</f>
        <v/>
      </c>
      <c r="E7" s="14">
        <f>SUMIFS(Transactions!$H$5:$H$43,Transactions!$C$5:$C$43,$A7)</f>
        <v/>
      </c>
      <c r="F7" s="26">
        <f>IF(E7&gt;=0,C7/SUM(Transactions!$F$5:$F$43),D7/SUM(Transactions!$G$5:$G$43))</f>
        <v/>
      </c>
    </row>
    <row r="8">
      <c r="A8" s="16" t="inlineStr">
        <is>
          <t>HORIZON COMMERCIAL</t>
        </is>
      </c>
      <c r="B8" s="16">
        <f>COUNTIFS(Transactions!$C$5:$C$43,$A8)</f>
        <v/>
      </c>
      <c r="C8" s="17">
        <f>SUMIFS(Transactions!$F$5:$F$43,Transactions!$C$5:$C$43,$A8)</f>
        <v/>
      </c>
      <c r="D8" s="17">
        <f>SUMIFS(Transactions!$G$5:$G$43,Transactions!$C$5:$C$43,$A8)</f>
        <v/>
      </c>
      <c r="E8" s="17">
        <f>SUMIFS(Transactions!$H$5:$H$43,Transactions!$C$5:$C$43,$A8)</f>
        <v/>
      </c>
      <c r="F8" s="27">
        <f>IF(E8&gt;=0,C8/SUM(Transactions!$F$5:$F$43),D8/SUM(Transactions!$G$5:$G$43))</f>
        <v/>
      </c>
    </row>
    <row r="9">
      <c r="A9" s="13" t="inlineStr">
        <is>
          <t>WHITFIELD &amp; CO</t>
        </is>
      </c>
      <c r="B9" s="13">
        <f>COUNTIFS(Transactions!$C$5:$C$43,$A9)</f>
        <v/>
      </c>
      <c r="C9" s="14">
        <f>SUMIFS(Transactions!$F$5:$F$43,Transactions!$C$5:$C$43,$A9)</f>
        <v/>
      </c>
      <c r="D9" s="14">
        <f>SUMIFS(Transactions!$G$5:$G$43,Transactions!$C$5:$C$43,$A9)</f>
        <v/>
      </c>
      <c r="E9" s="14">
        <f>SUMIFS(Transactions!$H$5:$H$43,Transactions!$C$5:$C$43,$A9)</f>
        <v/>
      </c>
      <c r="F9" s="26">
        <f>IF(E9&gt;=0,C9/SUM(Transactions!$F$5:$F$43),D9/SUM(Transactions!$G$5:$G$43))</f>
        <v/>
      </c>
    </row>
    <row r="10">
      <c r="A10" s="16" t="inlineStr">
        <is>
          <t>ALBION INSURANCE</t>
        </is>
      </c>
      <c r="B10" s="16">
        <f>COUNTIFS(Transactions!$C$5:$C$43,$A10)</f>
        <v/>
      </c>
      <c r="C10" s="17">
        <f>SUMIFS(Transactions!$F$5:$F$43,Transactions!$C$5:$C$43,$A10)</f>
        <v/>
      </c>
      <c r="D10" s="17">
        <f>SUMIFS(Transactions!$G$5:$G$43,Transactions!$C$5:$C$43,$A10)</f>
        <v/>
      </c>
      <c r="E10" s="17">
        <f>SUMIFS(Transactions!$H$5:$H$43,Transactions!$C$5:$C$43,$A10)</f>
        <v/>
      </c>
      <c r="F10" s="27">
        <f>IF(E10&gt;=0,C10/SUM(Transactions!$F$5:$F$43),D10/SUM(Transactions!$G$5:$G$43))</f>
        <v/>
      </c>
    </row>
    <row r="11">
      <c r="A11" s="19" t="inlineStr">
        <is>
          <t>Total</t>
        </is>
      </c>
      <c r="B11" s="19">
        <f>SUM(B5:B10)</f>
        <v/>
      </c>
      <c r="C11" s="20">
        <f>SUM(C5:C10)</f>
        <v/>
      </c>
      <c r="D11" s="20">
        <f>SUM(D5:D10)</f>
        <v/>
      </c>
      <c r="E11" s="20">
        <f>SUM(E5:E10)</f>
        <v/>
      </c>
      <c r="F11" s="18" t="n"/>
    </row>
  </sheetData>
  <printOptions horizontalCentered="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</cols>
  <sheetData>
    <row r="1" ht="22" customHeight="1">
      <c r="A1" s="1" t="inlineStr">
        <is>
          <t>Category rules</t>
        </is>
      </c>
    </row>
    <row r="2">
      <c r="A2" s="2" t="inlineStr">
        <is>
          <t>Edit these to change how transactions are categorised. The first keyword found in the description wins.</t>
        </is>
      </c>
    </row>
    <row r="3" ht="6" customHeight="1"/>
    <row r="4" ht="26" customHeight="1">
      <c r="A4" s="3" t="inlineStr">
        <is>
          <t>Keyword (upper case)</t>
        </is>
      </c>
      <c r="B4" s="3" t="inlineStr">
        <is>
          <t>Category</t>
        </is>
      </c>
      <c r="C4" s="3" t="inlineStr">
        <is>
          <t>Type</t>
        </is>
      </c>
    </row>
    <row r="5">
      <c r="A5" s="28" t="inlineStr">
        <is>
          <t>RENT</t>
        </is>
      </c>
      <c r="B5" s="28" t="inlineStr">
        <is>
          <t>Rental income</t>
        </is>
      </c>
      <c r="C5" s="28" t="inlineStr">
        <is>
          <t>Income</t>
        </is>
      </c>
    </row>
    <row r="6">
      <c r="A6" s="28" t="inlineStr">
        <is>
          <t>SERVICE CHARGE</t>
        </is>
      </c>
      <c r="B6" s="28" t="inlineStr">
        <is>
          <t>Service charge income</t>
        </is>
      </c>
      <c r="C6" s="28" t="inlineStr">
        <is>
          <t>Income</t>
        </is>
      </c>
    </row>
    <row r="7">
      <c r="A7" s="28" t="inlineStr">
        <is>
          <t>MORTGAGE</t>
        </is>
      </c>
      <c r="B7" s="28" t="inlineStr">
        <is>
          <t>Mortgage interest</t>
        </is>
      </c>
      <c r="C7" s="28" t="inlineStr">
        <is>
          <t>Expense</t>
        </is>
      </c>
    </row>
    <row r="8">
      <c r="A8" s="28" t="inlineStr">
        <is>
          <t>INTEREST</t>
        </is>
      </c>
      <c r="B8" s="28" t="inlineStr">
        <is>
          <t>Mortgage interest</t>
        </is>
      </c>
      <c r="C8" s="28" t="inlineStr">
        <is>
          <t>Expense</t>
        </is>
      </c>
    </row>
    <row r="9">
      <c r="A9" s="28" t="inlineStr">
        <is>
          <t>MANAGING AGENT</t>
        </is>
      </c>
      <c r="B9" s="28" t="inlineStr">
        <is>
          <t>Managing agent fees</t>
        </is>
      </c>
      <c r="C9" s="28" t="inlineStr">
        <is>
          <t>Expense</t>
        </is>
      </c>
    </row>
    <row r="10">
      <c r="A10" s="28" t="inlineStr">
        <is>
          <t>AGENT</t>
        </is>
      </c>
      <c r="B10" s="28" t="inlineStr">
        <is>
          <t>Managing agent fees</t>
        </is>
      </c>
      <c r="C10" s="28" t="inlineStr">
        <is>
          <t>Expense</t>
        </is>
      </c>
    </row>
    <row r="11">
      <c r="A11" s="28" t="inlineStr">
        <is>
          <t>INSURANCE</t>
        </is>
      </c>
      <c r="B11" s="28" t="inlineStr">
        <is>
          <t>Insurance</t>
        </is>
      </c>
      <c r="C11" s="28" t="inlineStr">
        <is>
          <t>Expense</t>
        </is>
      </c>
    </row>
    <row r="12">
      <c r="A12" s="28" t="inlineStr">
        <is>
          <t>ACCOUNTANCY</t>
        </is>
      </c>
      <c r="B12" s="28" t="inlineStr">
        <is>
          <t>Professional fees</t>
        </is>
      </c>
      <c r="C12" s="28" t="inlineStr">
        <is>
          <t>Expense</t>
        </is>
      </c>
    </row>
    <row r="13">
      <c r="A13" s="28" t="inlineStr">
        <is>
          <t>LEGAL</t>
        </is>
      </c>
      <c r="B13" s="28" t="inlineStr">
        <is>
          <t>Professional fees</t>
        </is>
      </c>
      <c r="C13" s="28" t="inlineStr">
        <is>
          <t>Expense</t>
        </is>
      </c>
    </row>
    <row r="14">
      <c r="A14" s="28" t="inlineStr">
        <is>
          <t>AUDIT</t>
        </is>
      </c>
      <c r="B14" s="28" t="inlineStr">
        <is>
          <t>Professional fees</t>
        </is>
      </c>
      <c r="C14" s="28" t="inlineStr">
        <is>
          <t>Expense</t>
        </is>
      </c>
    </row>
    <row r="15">
      <c r="A15" s="28" t="inlineStr">
        <is>
          <t>DIRECTOR</t>
        </is>
      </c>
      <c r="B15" s="28" t="inlineStr">
        <is>
          <t>Directors remuneration</t>
        </is>
      </c>
      <c r="C15" s="28" t="inlineStr">
        <is>
          <t>Expense</t>
        </is>
      </c>
    </row>
    <row r="16">
      <c r="A16" s="28" t="inlineStr">
        <is>
          <t>PAYROLL</t>
        </is>
      </c>
      <c r="B16" s="28" t="inlineStr">
        <is>
          <t>Directors remuneration</t>
        </is>
      </c>
      <c r="C16" s="28" t="inlineStr">
        <is>
          <t>Expense</t>
        </is>
      </c>
    </row>
    <row r="17">
      <c r="A17" s="28" t="inlineStr">
        <is>
          <t>SALARY</t>
        </is>
      </c>
      <c r="B17" s="28" t="inlineStr">
        <is>
          <t>Directors remuneration</t>
        </is>
      </c>
      <c r="C17" s="28" t="inlineStr">
        <is>
          <t>Expense</t>
        </is>
      </c>
    </row>
    <row r="18">
      <c r="A18" s="28" t="inlineStr">
        <is>
          <t>REPAIR</t>
        </is>
      </c>
      <c r="B18" s="28" t="inlineStr">
        <is>
          <t>Repairs and maintenance</t>
        </is>
      </c>
      <c r="C18" s="28" t="inlineStr">
        <is>
          <t>Expense</t>
        </is>
      </c>
    </row>
    <row r="19">
      <c r="A19" s="28" t="inlineStr">
        <is>
          <t>MAINTENANCE</t>
        </is>
      </c>
      <c r="B19" s="28" t="inlineStr">
        <is>
          <t>Repairs and maintenance</t>
        </is>
      </c>
      <c r="C19" s="28" t="inlineStr">
        <is>
          <t>Expense</t>
        </is>
      </c>
    </row>
    <row r="21">
      <c r="A21" s="25" t="inlineStr">
        <is>
          <t>Blue text on yellow = input cells. Everything else in this workbook is calculated.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2026-08-25T13:55:51Z</dcterms:created>
  <dcterms:modified xsi:type="dcterms:W3CDTF">2026-08-25T13:55:51Z</dcterms:modified>
</cp:coreProperties>
</file>