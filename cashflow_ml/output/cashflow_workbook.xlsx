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nsactions" sheetId="2" state="visible" r:id="rId4"/>
    <sheet name="Monthly cash flow" sheetId="3" state="visible" r:id="rId5"/>
    <sheet name="Profit and loss" sheetId="4" state="visible" r:id="rId6"/>
    <sheet name="By company" sheetId="5" state="visible" r:id="rId7"/>
    <sheet name="Categories" sheetId="6" state="visible" r:id="rId8"/>
  </sheets>
  <definedNames>
    <definedName function="false" hidden="false" localSheetId="4" name="_xlnm.Print_Titles" vbProcedure="false">'By company'!$4:$4</definedName>
    <definedName function="false" hidden="false" localSheetId="5" name="_xlnm.Print_Titles" vbProcedure="false">Categories!$4:$4</definedName>
    <definedName function="false" hidden="false" localSheetId="2" name="_xlnm.Print_Titles" vbProcedure="false">'Monthly cash flow'!$4:$4</definedName>
    <definedName function="false" hidden="false" localSheetId="3" name="_xlnm.Print_Titles" vbProcedure="false">'Profit and loss'!$4:$4</definedName>
    <definedName function="false" hidden="false" localSheetId="0" name="_xlnm.Print_Titles" vbProcedure="false">Summary!$4:$4</definedName>
    <definedName function="false" hidden="false" localSheetId="1" name="_xlnm.Print_Titles" vbProcedure="false">Transactions!$4:$4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<sst xmlns="http://schemas.openxmlformats.org/spreadsheetml/2006/main" count="339" uniqueCount="181">
  <si>
    <t xml:space="preserve">Cash In / Cash Out Summary</t>
  </si>
  <si>
    <t xml:space="preserve">Every figure below is a formula. Change the Transactions sheet and this updates.</t>
  </si>
  <si>
    <t xml:space="preserve">Measure</t>
  </si>
  <si>
    <t xml:space="preserve">Value</t>
  </si>
  <si>
    <t xml:space="preserve">Note</t>
  </si>
  <si>
    <t xml:space="preserve">Cash in</t>
  </si>
  <si>
    <t xml:space="preserve">Total receipts</t>
  </si>
  <si>
    <t xml:space="preserve">Cash out</t>
  </si>
  <si>
    <t xml:space="preserve">Total payments</t>
  </si>
  <si>
    <t xml:space="preserve">Net result</t>
  </si>
  <si>
    <t xml:space="preserve">Cash basis, not statutory profit</t>
  </si>
  <si>
    <t xml:space="preserve">Cost ratio</t>
  </si>
  <si>
    <t xml:space="preserve">Spent per £1 received</t>
  </si>
  <si>
    <t xml:space="preserve">Transactions</t>
  </si>
  <si>
    <t xml:space="preserve">Lines in the statement</t>
  </si>
  <si>
    <t xml:space="preserve">Months covered</t>
  </si>
  <si>
    <t xml:space="preserve">Periods in the data</t>
  </si>
  <si>
    <t xml:space="preserve">Missing documents</t>
  </si>
  <si>
    <t xml:space="preserve">Should be zero</t>
  </si>
  <si>
    <t xml:space="preserve">Best month</t>
  </si>
  <si>
    <t xml:space="preserve">Largest net inflow</t>
  </si>
  <si>
    <t xml:space="preserve">Worst month</t>
  </si>
  <si>
    <t xml:space="preserve">Largest net outflow</t>
  </si>
  <si>
    <t xml:space="preserve">How to read this workbook</t>
  </si>
  <si>
    <t xml:space="preserve">Transactions - the cleaned bank statement. Columns H to K are calculated; the rest is source data.</t>
  </si>
  <si>
    <t xml:space="preserve">Categories - the keyword rules. Blue text on yellow means you may edit it; everything else is a formula.</t>
  </si>
  <si>
    <t xml:space="preserve">Monthly cash flow - SUMIFS by month, with a running total.</t>
  </si>
  <si>
    <t xml:space="preserve">Profit and loss - SUMIFS by category, income then expenditure.</t>
  </si>
  <si>
    <t xml:space="preserve">By company - what has accumulated with each counterparty.</t>
  </si>
  <si>
    <t xml:space="preserve">Basis: cash accounting. Receipts and payments as they cleared the bank. No accruals, prepayments, depreciation or tax.</t>
  </si>
  <si>
    <t xml:space="preserve">One row per bank line. Columns H to K are calculated - do not type over them.</t>
  </si>
  <si>
    <t xml:space="preserve">Date</t>
  </si>
  <si>
    <t xml:space="preserve">Description</t>
  </si>
  <si>
    <t xml:space="preserve">Counterparty</t>
  </si>
  <si>
    <t xml:space="preserve">Property</t>
  </si>
  <si>
    <t xml:space="preserve">Document</t>
  </si>
  <si>
    <t xml:space="preserve">Money in</t>
  </si>
  <si>
    <t xml:space="preserve">Money out</t>
  </si>
  <si>
    <t xml:space="preserve">Amount</t>
  </si>
  <si>
    <t xml:space="preserve">Direction</t>
  </si>
  <si>
    <t xml:space="preserve">Category</t>
  </si>
  <si>
    <t xml:space="preserve">Month</t>
  </si>
  <si>
    <t xml:space="preserve">COMMERCIAL RENT COMM-04</t>
  </si>
  <si>
    <t xml:space="preserve">TENANT - KESTREL TRADING LTD</t>
  </si>
  <si>
    <t xml:space="preserve">COMM-04</t>
  </si>
  <si>
    <t xml:space="preserve">RENT-COMM-04-202504</t>
  </si>
  <si>
    <t xml:space="preserve">COMMERCIAL MORTGAGE INTEREST COMM-04</t>
  </si>
  <si>
    <t xml:space="preserve">MERIDIAN COMMERCIAL</t>
  </si>
  <si>
    <t xml:space="preserve">CMTG-202504</t>
  </si>
  <si>
    <t xml:space="preserve">MANAGING AGENT COMM-04</t>
  </si>
  <si>
    <t xml:space="preserve">HORIZON COMMERCIAL</t>
  </si>
  <si>
    <t xml:space="preserve">INV-HC-202504</t>
  </si>
  <si>
    <t xml:space="preserve">RENT-COMM-04-202505</t>
  </si>
  <si>
    <t xml:space="preserve">CMTG-202505</t>
  </si>
  <si>
    <t xml:space="preserve">INV-HC-202505</t>
  </si>
  <si>
    <t xml:space="preserve">RENT-COMM-04-202506</t>
  </si>
  <si>
    <t xml:space="preserve">CMTG-202506</t>
  </si>
  <si>
    <t xml:space="preserve">INV-HC-202506</t>
  </si>
  <si>
    <t xml:space="preserve">DIRECTORS REMUNERATION</t>
  </si>
  <si>
    <t xml:space="preserve">R MEHRA</t>
  </si>
  <si>
    <t xml:space="preserve">Company-wide</t>
  </si>
  <si>
    <t xml:space="preserve">PAYROLL-2025-06</t>
  </si>
  <si>
    <t xml:space="preserve">RENT-COMM-04-202507</t>
  </si>
  <si>
    <t xml:space="preserve">CMTG-202507</t>
  </si>
  <si>
    <t xml:space="preserve">INV-HC-202507</t>
  </si>
  <si>
    <t xml:space="preserve">BUILDINGS INSURANCE COMMERCIAL</t>
  </si>
  <si>
    <t xml:space="preserve">ALBION INSURANCE</t>
  </si>
  <si>
    <t xml:space="preserve">POL-COMM-2025</t>
  </si>
  <si>
    <t xml:space="preserve">RENT-COMM-04-202508</t>
  </si>
  <si>
    <t xml:space="preserve">CMTG-202508</t>
  </si>
  <si>
    <t xml:space="preserve">INV-HC-202508</t>
  </si>
  <si>
    <t xml:space="preserve">RENT-COMM-04-202509</t>
  </si>
  <si>
    <t xml:space="preserve">CMTG-202509</t>
  </si>
  <si>
    <t xml:space="preserve">INV-HC-202509</t>
  </si>
  <si>
    <t xml:space="preserve">RENT-COMM-04-202510</t>
  </si>
  <si>
    <t xml:space="preserve">CMTG-202510</t>
  </si>
  <si>
    <t xml:space="preserve">INV-HC-202510</t>
  </si>
  <si>
    <t xml:space="preserve">RENT-COMM-04-202511</t>
  </si>
  <si>
    <t xml:space="preserve">CMTG-202511</t>
  </si>
  <si>
    <t xml:space="preserve">INV-HC-202511</t>
  </si>
  <si>
    <t xml:space="preserve">RENT-COMM-04-202512</t>
  </si>
  <si>
    <t xml:space="preserve">CMTG-202512</t>
  </si>
  <si>
    <t xml:space="preserve">INV-HC-202512</t>
  </si>
  <si>
    <t xml:space="preserve">RENT-COMM-04-202601</t>
  </si>
  <si>
    <t xml:space="preserve">CMTG-202601</t>
  </si>
  <si>
    <t xml:space="preserve">INV-HC-202601</t>
  </si>
  <si>
    <t xml:space="preserve">RENT-COMM-04-202602</t>
  </si>
  <si>
    <t xml:space="preserve">CMTG-202602</t>
  </si>
  <si>
    <t xml:space="preserve">INV-HC-202602</t>
  </si>
  <si>
    <t xml:space="preserve">ACCOUNTANCY FEES</t>
  </si>
  <si>
    <t xml:space="preserve">WHITFIELD &amp; CO</t>
  </si>
  <si>
    <t xml:space="preserve">INV-WC-2310</t>
  </si>
  <si>
    <t xml:space="preserve">RENT-COMM-04-202603</t>
  </si>
  <si>
    <t xml:space="preserve">CMTG-202603</t>
  </si>
  <si>
    <t xml:space="preserve">INV-HC-202603</t>
  </si>
  <si>
    <t xml:space="preserve">RENT-COMM-04-202604</t>
  </si>
  <si>
    <t xml:space="preserve">CMTG-202604</t>
  </si>
  <si>
    <t xml:space="preserve">INV-HC-202604</t>
  </si>
  <si>
    <t xml:space="preserve">ROOF REPAIR COMM-04</t>
  </si>
  <si>
    <t xml:space="preserve">NORTHGATE BUILDING SERVICES</t>
  </si>
  <si>
    <t xml:space="preserve">INV-NBS-8841</t>
  </si>
  <si>
    <t xml:space="preserve">SERVICE CHARGE RECEIPT COMM-04</t>
  </si>
  <si>
    <t xml:space="preserve">SC-COMM-04-2026</t>
  </si>
  <si>
    <t xml:space="preserve">DILAPIDATIONS SETTLEMENT</t>
  </si>
  <si>
    <t xml:space="preserve">FORMER TENANT LTD</t>
  </si>
  <si>
    <t xml:space="preserve">DILAP-2026</t>
  </si>
  <si>
    <t xml:space="preserve">INSTALMENT TO HMRC</t>
  </si>
  <si>
    <t xml:space="preserve">HMRC</t>
  </si>
  <si>
    <t xml:space="preserve">CT-2026</t>
  </si>
  <si>
    <t xml:space="preserve">Total</t>
  </si>
  <si>
    <t xml:space="preserve">Monthly cash flow</t>
  </si>
  <si>
    <t xml:space="preserve">Totalled straight from the Transactions sheet with SUMIFS.</t>
  </si>
  <si>
    <t xml:space="preserve">Net movement</t>
  </si>
  <si>
    <t xml:space="preserve">Running total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</si>
  <si>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</si>
  <si>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</si>
  <si>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</si>
  <si>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</si>
  <si>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</si>
  <si>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</si>
  <si>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</si>
  <si>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</si>
  <si>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</si>
  <si>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</si>
  <si>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</si>
  <si>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</si>
  <si>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</si>
  <si>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</si>
  <si>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Profit and loss</t>
  </si>
  <si>
    <t xml:space="preserve">Cash basis: receipts and payments as they cleared the bank. Not a statutory profit - no accruals, prepayments, depreciation or tax.</t>
  </si>
  <si>
    <t xml:space="preserve">INCOME</t>
  </si>
  <si>
    <t xml:space="preserve">    Rental income</t>
  </si>
  <si>
    <t xml:space="preserve">    Service charge income</t>
  </si>
  <si>
    <t xml:space="preserve">    Uncategorised income</t>
  </si>
  <si>
    <t xml:space="preserve">Total income</t>
  </si>
  <si>
    <t xml:space="preserve">EXPENDITURE</t>
  </si>
  <si>
    <t xml:space="preserve">    Mortgage interest</t>
  </si>
  <si>
    <t xml:space="preserve">    Managing agent fees</t>
  </si>
  <si>
    <t xml:space="preserve">    Directors remuneration</t>
  </si>
  <si>
    <t xml:space="preserve">    Insurance</t>
  </si>
  <si>
    <t xml:space="preserve">    Professional fees</t>
  </si>
  <si>
    <t xml:space="preserve">    Repairs and maintenance</t>
  </si>
  <si>
    <t xml:space="preserve">    Uncategorised expense</t>
  </si>
  <si>
    <t xml:space="preserve">Total expenditure</t>
  </si>
  <si>
    <t xml:space="preserve">NET RESULT FOR THE PERIOD</t>
  </si>
  <si>
    <t xml:space="preserve">Assumption: every bank line is revenue in nature. No capital items, loan drawdowns or repayments appear in this statement.</t>
  </si>
  <si>
    <t xml:space="preserve">Accumulated by company</t>
  </si>
  <si>
    <t xml:space="preserve">Everything paid to or received from each counterparty.</t>
  </si>
  <si>
    <t xml:space="preserve">Company</t>
  </si>
  <si>
    <t xml:space="preserve">Accumulated</t>
  </si>
  <si>
    <t xml:space="preserve">Share of direction</t>
  </si>
  <si>
    <t xml:space="preserve">Category rules</t>
  </si>
  <si>
    <t xml:space="preserve">Edit these to change how transactions are categorised. The first keyword found in the description wins.</t>
  </si>
  <si>
    <t xml:space="preserve">Keyword (upper case)</t>
  </si>
  <si>
    <t xml:space="preserve">Type</t>
  </si>
  <si>
    <t xml:space="preserve">RENT</t>
  </si>
  <si>
    <t xml:space="preserve">Rental income</t>
  </si>
  <si>
    <t xml:space="preserve">Income</t>
  </si>
  <si>
    <t xml:space="preserve">SERVICE CHARGE</t>
  </si>
  <si>
    <t xml:space="preserve">Service charge income</t>
  </si>
  <si>
    <t xml:space="preserve">MORTGAGE</t>
  </si>
  <si>
    <t xml:space="preserve">Mortgage interest</t>
  </si>
  <si>
    <t xml:space="preserve">Expense</t>
  </si>
  <si>
    <t xml:space="preserve">INTEREST</t>
  </si>
  <si>
    <t xml:space="preserve">MANAGING AGENT</t>
  </si>
  <si>
    <t xml:space="preserve">Managing agent fees</t>
  </si>
  <si>
    <t xml:space="preserve">AGENT</t>
  </si>
  <si>
    <t xml:space="preserve">INSURANCE</t>
  </si>
  <si>
    <t xml:space="preserve">Insurance</t>
  </si>
  <si>
    <t xml:space="preserve">ACCOUNTANCY</t>
  </si>
  <si>
    <t xml:space="preserve">Professional fees</t>
  </si>
  <si>
    <t xml:space="preserve">LEGAL</t>
  </si>
  <si>
    <t xml:space="preserve">AUDIT</t>
  </si>
  <si>
    <t xml:space="preserve">DIRECTOR</t>
  </si>
  <si>
    <t xml:space="preserve">Directors remuneration</t>
  </si>
  <si>
    <t xml:space="preserve">PAYROLL</t>
  </si>
  <si>
    <t xml:space="preserve">SALARY</t>
  </si>
  <si>
    <t xml:space="preserve">REPAIR</t>
  </si>
  <si>
    <t xml:space="preserve">Repairs and maintenance</t>
  </si>
  <si>
    <t xml:space="preserve">MAINTENANCE</t>
  </si>
  <si>
    <t xml:space="preserve">Blue text on yellow = input cells. Everything else in this workbook is calculated.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</si>
</sst>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£#,##0.00;&quot;(£&quot;#,##0.00\);\-"/>
    <numFmt numFmtId="166" formatCode="0.0%"/>
    <numFmt numFmtId="167" formatCode="0"/>
    <numFmt numFmtId="168" formatCode="dd/mm/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A1D21"/>
      <name val="Arial"/>
      <family val="0"/>
      <charset val="1"/>
    </font>
    <font>
      <sz val="9"/>
      <color rgb="FF6B728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1A1D21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0"/>
      <color rgb="FF1A1D2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A1D21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B57"/>
        <bgColor rgb="FF003366"/>
      </patternFill>
    </fill>
    <fill>
      <patternFill patternType="solid">
        <fgColor rgb="FFF2F4F6"/>
        <bgColor rgb="FFFFFFFF"/>
      </patternFill>
    </fill>
    <fill>
      <patternFill patternType="solid">
        <fgColor rgb="FFFFFF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medium">
        <color rgb="FFBFC4CB"/>
      </top>
      <bottom/>
      <diagonal/>
    </border>
    <border diagonalUp="false" diagonalDown="false">
      <left/>
      <right/>
      <top style="thin">
        <color rgb="FFBFC4C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B57"/>
          <bgColor rgb="FF000000"/>
        </patternFill>
      </fill>
    </dxf>
    <dxf>
      <fill>
        <patternFill patternType="solid">
          <fgColor rgb="FFF2F4F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D21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C4CB"/>
      <rgbColor rgb="FF808080"/>
      <rgbColor rgb="FF9999FF"/>
      <rgbColor rgb="FF993366"/>
      <rgbColor rgb="FFFFFFCC"/>
      <rgbColor rgb="FFF2F4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1A1D21"/>
      <rgbColor rgb="FF993300"/>
      <rgbColor rgb="FF993366"/>
      <rgbColor rgb="FF333399"/>
      <rgbColor rgb="FF1F3B5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Transactions" displayName="tblTransactions" ref="A4:K50" headerRowCount="1" totalsRowCount="0" totalsRowShown="0">
  <autoFilter ref="A4:K50"/>
  <tableColumns count="11">
    <tableColumn id="1" name="Date"/>
    <tableColumn id="2" name="Description"/>
    <tableColumn id="3" name="Counterparty"/>
    <tableColumn id="4" name="Property"/>
    <tableColumn id="5" name="Document"/>
    <tableColumn id="6" name="Money in"/>
    <tableColumn id="7" name="Money out"/>
    <tableColumn id="8" name="Amount"/>
    <tableColumn id="9" name="Direction"/>
    <tableColumn id="10" name="Category"/>
    <tableColumn id="11" name="Month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8"/>
    <col collapsed="false" customWidth="true" hidden="false" outlineLevel="0" max="3" min="3" style="0" width="40"/>
  </cols>
  <sheetData>
    <row r="1" customFormat="false" ht="21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8.75" hidden="false" customHeight="true" outlineLevel="0" collapsed="false">
      <c r="A5" s="4" t="s">
        <v>5</v>
      </c>
      <c r="B5" s="5" t="n">
        <f aca="false">SUM(Transactions!F5:F50)</f>
        <v>50050</v>
      </c>
      <c r="C5" s="2" t="s">
        <v>6</v>
      </c>
    </row>
    <row r="6" customFormat="false" ht="18.75" hidden="false" customHeight="true" outlineLevel="0" collapsed="false">
      <c r="A6" s="6" t="s">
        <v>7</v>
      </c>
      <c r="B6" s="7" t="n">
        <f aca="false">SUM(Transactions!G5:G50)</f>
        <v>42836</v>
      </c>
      <c r="C6" s="8" t="s">
        <v>8</v>
      </c>
    </row>
    <row r="7" customFormat="false" ht="18.75" hidden="false" customHeight="true" outlineLevel="0" collapsed="false">
      <c r="A7" s="4" t="s">
        <v>9</v>
      </c>
      <c r="B7" s="5" t="n">
        <f aca="false">SUM(Transactions!H5:H50)</f>
        <v>7214</v>
      </c>
      <c r="C7" s="2" t="s">
        <v>10</v>
      </c>
    </row>
    <row r="8" customFormat="false" ht="18.75" hidden="false" customHeight="true" outlineLevel="0" collapsed="false">
      <c r="A8" s="6" t="s">
        <v>11</v>
      </c>
      <c r="B8" s="9" t="n">
        <f aca="false">SUM(Transactions!G5:G50)/SUM(Transactions!F5:F50)</f>
        <v>0.855864135864136</v>
      </c>
      <c r="C8" s="8" t="s">
        <v>12</v>
      </c>
    </row>
    <row r="9" customFormat="false" ht="18.75" hidden="false" customHeight="true" outlineLevel="0" collapsed="false">
      <c r="A9" s="4" t="s">
        <v>13</v>
      </c>
      <c r="B9" s="10" t="n">
        <f aca="false">COUNT(Transactions!H5:H50)</f>
        <v>46</v>
      </c>
      <c r="C9" s="2" t="s">
        <v>14</v>
      </c>
    </row>
    <row r="10" customFormat="false" ht="18.75" hidden="false" customHeight="true" outlineLevel="0" collapsed="false">
      <c r="A10" s="6" t="s">
        <v>15</v>
      </c>
      <c r="B10" s="11" t="n">
        <f aca="false">COUNT('Monthly cash flow'!D5:D18)</f>
        <v>14</v>
      </c>
      <c r="C10" s="8" t="s">
        <v>16</v>
      </c>
    </row>
    <row r="11" customFormat="false" ht="18.75" hidden="false" customHeight="true" outlineLevel="0" collapsed="false">
      <c r="A11" s="4" t="s">
        <v>17</v>
      </c>
      <c r="B11" s="10" t="n">
        <f aca="false">COUNTBLANK(Transactions!E5:E50)</f>
        <v>0</v>
      </c>
      <c r="C11" s="2" t="s">
        <v>18</v>
      </c>
    </row>
    <row r="12" customFormat="false" ht="18.75" hidden="false" customHeight="true" outlineLevel="0" collapsed="false">
      <c r="A12" s="6" t="s">
        <v>19</v>
      </c>
      <c r="B12" s="7" t="n">
        <f aca="false">MAX('Monthly cash flow'!D5:D18)</f>
        <v>4100</v>
      </c>
      <c r="C12" s="8" t="s">
        <v>20</v>
      </c>
    </row>
    <row r="13" customFormat="false" ht="18.75" hidden="false" customHeight="true" outlineLevel="0" collapsed="false">
      <c r="A13" s="4" t="s">
        <v>21</v>
      </c>
      <c r="B13" s="5" t="n">
        <f aca="false">MIN('Monthly cash flow'!D5:D18)</f>
        <v>-7606</v>
      </c>
      <c r="C13" s="2" t="s">
        <v>22</v>
      </c>
    </row>
    <row r="16" customFormat="false" ht="15" hidden="false" customHeight="false" outlineLevel="0" collapsed="false">
      <c r="A16" s="4" t="s">
        <v>23</v>
      </c>
    </row>
    <row r="17" customFormat="false" ht="15" hidden="false" customHeight="false" outlineLevel="0" collapsed="false">
      <c r="A17" s="2" t="s">
        <v>24</v>
      </c>
    </row>
    <row r="18" customFormat="false" ht="15" hidden="false" customHeight="false" outlineLevel="0" collapsed="false">
      <c r="A18" s="2" t="s">
        <v>25</v>
      </c>
    </row>
    <row r="19" customFormat="false" ht="15" hidden="false" customHeight="false" outlineLevel="0" collapsed="false">
      <c r="A19" s="2" t="s">
        <v>26</v>
      </c>
    </row>
    <row r="20" customFormat="false" ht="15" hidden="false" customHeight="false" outlineLevel="0" collapsed="false">
      <c r="A20" s="2" t="s">
        <v>27</v>
      </c>
    </row>
    <row r="21" customFormat="false" ht="15" hidden="false" customHeight="false" outlineLevel="0" collapsed="false">
      <c r="A21" s="2" t="s">
        <v>28</v>
      </c>
    </row>
    <row r="22" customFormat="false" ht="15" hidden="false" customHeight="false" outlineLevel="0" collapsed="false">
      <c r="A22" s="2"/>
    </row>
    <row r="23" customFormat="false" ht="15" hidden="false" customHeight="false" outlineLevel="0" collapsed="false">
      <c r="A23" s="2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8" min="6" style="0" width="13"/>
    <col collapsed="false" customWidth="true" hidden="false" outlineLevel="0" max="9" min="9" style="0" width="11"/>
    <col collapsed="false" customWidth="true" hidden="false" outlineLevel="0" max="10" min="10" style="0" width="22"/>
    <col collapsed="false" customWidth="true" hidden="false" outlineLevel="0" max="11" min="11" style="0" width="10"/>
  </cols>
  <sheetData>
    <row r="1" customFormat="false" ht="21.75" hidden="false" customHeight="true" outlineLevel="0" collapsed="false">
      <c r="A1" s="1" t="s">
        <v>13</v>
      </c>
    </row>
    <row r="2" customFormat="false" ht="15" hidden="false" customHeight="false" outlineLevel="0" collapsed="false">
      <c r="A2" s="2" t="s">
        <v>30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 t="s">
        <v>31</v>
      </c>
      <c r="B4" s="3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  <c r="I4" s="3" t="s">
        <v>39</v>
      </c>
      <c r="J4" s="3" t="s">
        <v>40</v>
      </c>
      <c r="K4" s="3" t="s">
        <v>41</v>
      </c>
    </row>
    <row r="5" customFormat="false" ht="15" hidden="false" customHeight="false" outlineLevel="0" collapsed="false">
      <c r="A5" s="12" t="n">
        <v>45748</v>
      </c>
      <c r="B5" s="13" t="s">
        <v>42</v>
      </c>
      <c r="C5" s="13" t="s">
        <v>43</v>
      </c>
      <c r="D5" s="13" t="s">
        <v>44</v>
      </c>
      <c r="E5" s="13" t="s">
        <v>45</v>
      </c>
      <c r="F5" s="14" t="n">
        <v>3200</v>
      </c>
      <c r="G5" s="14" t="n">
        <v>0</v>
      </c>
      <c r="H5" s="14" t="n">
        <f aca="false">F5-G5</f>
        <v>3200</v>
      </c>
      <c r="I5" s="13" t="str">
        <f aca="false">IF(H5&gt;=0,"Cash in","Cash out")</f>
        <v>Cash in</v>
      </c>
      <c r="J5" s="13" t="str">
        <f aca="false">IFERROR(INDEX(Categories!$B$5:$B$19,MATCH(1,INDEX(--ISNUMBER(SEARCH(Categories!$A$5:$A$19,UPPER($B5))),0),0)),IF(H5&gt;=0,"Uncategorised income","Uncategorised expense"))</f>
        <v>Rental income</v>
      </c>
      <c r="K5" s="13" t="str">
        <f aca="false">TEXT(A5,"yyyy-mm")</f>
        <v>2025-04</v>
      </c>
    </row>
    <row r="6" customFormat="false" ht="15" hidden="false" customHeight="false" outlineLevel="0" collapsed="false">
      <c r="A6" s="15" t="n">
        <v>45750</v>
      </c>
      <c r="B6" s="16" t="s">
        <v>46</v>
      </c>
      <c r="C6" s="16" t="s">
        <v>47</v>
      </c>
      <c r="D6" s="16" t="s">
        <v>44</v>
      </c>
      <c r="E6" s="16" t="s">
        <v>48</v>
      </c>
      <c r="F6" s="17" t="n">
        <v>0</v>
      </c>
      <c r="G6" s="17" t="n">
        <v>1450</v>
      </c>
      <c r="H6" s="17" t="n">
        <f aca="false">F6-G6</f>
        <v>-1450</v>
      </c>
      <c r="I6" s="16" t="str">
        <f aca="false">IF(H6&gt;=0,"Cash in","Cash out")</f>
        <v>Cash out</v>
      </c>
      <c r="J6" s="16" t="str">
        <f aca="false">IFERROR(INDEX(Categories!$B$5:$B$19,MATCH(1,INDEX(--ISNUMBER(SEARCH(Categories!$A$5:$A$19,UPPER($B6))),0),0)),IF(H6&gt;=0,"Uncategorised income","Uncategorised expense"))</f>
        <v>Mortgage interest</v>
      </c>
      <c r="K6" s="16" t="str">
        <f aca="false">TEXT(A6,"yyyy-mm")</f>
        <v>2025-04</v>
      </c>
    </row>
    <row r="7" customFormat="false" ht="15" hidden="false" customHeight="false" outlineLevel="0" collapsed="false">
      <c r="A7" s="12" t="n">
        <v>45752</v>
      </c>
      <c r="B7" s="13" t="s">
        <v>49</v>
      </c>
      <c r="C7" s="13" t="s">
        <v>50</v>
      </c>
      <c r="D7" s="13" t="s">
        <v>44</v>
      </c>
      <c r="E7" s="13" t="s">
        <v>51</v>
      </c>
      <c r="F7" s="14" t="n">
        <v>0</v>
      </c>
      <c r="G7" s="14" t="n">
        <v>256</v>
      </c>
      <c r="H7" s="14" t="n">
        <f aca="false">F7-G7</f>
        <v>-256</v>
      </c>
      <c r="I7" s="13" t="str">
        <f aca="false">IF(H7&gt;=0,"Cash in","Cash out")</f>
        <v>Cash out</v>
      </c>
      <c r="J7" s="13" t="str">
        <f aca="false">IFERROR(INDEX(Categories!$B$5:$B$19,MATCH(1,INDEX(--ISNUMBER(SEARCH(Categories!$A$5:$A$19,UPPER($B7))),0),0)),IF(H7&gt;=0,"Uncategorised income","Uncategorised expense"))</f>
        <v>Managing agent fees</v>
      </c>
      <c r="K7" s="13" t="str">
        <f aca="false">TEXT(A7,"yyyy-mm")</f>
        <v>2025-04</v>
      </c>
    </row>
    <row r="8" customFormat="false" ht="15" hidden="false" customHeight="false" outlineLevel="0" collapsed="false">
      <c r="A8" s="15" t="n">
        <v>45778</v>
      </c>
      <c r="B8" s="16" t="s">
        <v>42</v>
      </c>
      <c r="C8" s="16" t="s">
        <v>43</v>
      </c>
      <c r="D8" s="16" t="s">
        <v>44</v>
      </c>
      <c r="E8" s="16" t="s">
        <v>52</v>
      </c>
      <c r="F8" s="17" t="n">
        <v>3200</v>
      </c>
      <c r="G8" s="17" t="n">
        <v>0</v>
      </c>
      <c r="H8" s="17" t="n">
        <f aca="false">F8-G8</f>
        <v>3200</v>
      </c>
      <c r="I8" s="16" t="str">
        <f aca="false">IF(H8&gt;=0,"Cash in","Cash out")</f>
        <v>Cash in</v>
      </c>
      <c r="J8" s="16" t="str">
        <f aca="false">IFERROR(INDEX(Categories!$B$5:$B$19,MATCH(1,INDEX(--ISNUMBER(SEARCH(Categories!$A$5:$A$19,UPPER($B8))),0),0)),IF(H8&gt;=0,"Uncategorised income","Uncategorised expense"))</f>
        <v>Rental income</v>
      </c>
      <c r="K8" s="16" t="str">
        <f aca="false">TEXT(A8,"yyyy-mm")</f>
        <v>2025-05</v>
      </c>
    </row>
    <row r="9" customFormat="false" ht="15" hidden="false" customHeight="false" outlineLevel="0" collapsed="false">
      <c r="A9" s="12" t="n">
        <v>45780</v>
      </c>
      <c r="B9" s="13" t="s">
        <v>46</v>
      </c>
      <c r="C9" s="13" t="s">
        <v>47</v>
      </c>
      <c r="D9" s="13" t="s">
        <v>44</v>
      </c>
      <c r="E9" s="13" t="s">
        <v>53</v>
      </c>
      <c r="F9" s="14" t="n">
        <v>0</v>
      </c>
      <c r="G9" s="14" t="n">
        <v>1450</v>
      </c>
      <c r="H9" s="14" t="n">
        <f aca="false">F9-G9</f>
        <v>-1450</v>
      </c>
      <c r="I9" s="13" t="str">
        <f aca="false">IF(H9&gt;=0,"Cash in","Cash out")</f>
        <v>Cash out</v>
      </c>
      <c r="J9" s="13" t="str">
        <f aca="false">IFERROR(INDEX(Categories!$B$5:$B$19,MATCH(1,INDEX(--ISNUMBER(SEARCH(Categories!$A$5:$A$19,UPPER($B9))),0),0)),IF(H9&gt;=0,"Uncategorised income","Uncategorised expense"))</f>
        <v>Mortgage interest</v>
      </c>
      <c r="K9" s="13" t="str">
        <f aca="false">TEXT(A9,"yyyy-mm")</f>
        <v>2025-05</v>
      </c>
    </row>
    <row r="10" customFormat="false" ht="15" hidden="false" customHeight="false" outlineLevel="0" collapsed="false">
      <c r="A10" s="15" t="n">
        <v>45782</v>
      </c>
      <c r="B10" s="16" t="s">
        <v>49</v>
      </c>
      <c r="C10" s="16" t="s">
        <v>50</v>
      </c>
      <c r="D10" s="16" t="s">
        <v>44</v>
      </c>
      <c r="E10" s="16" t="s">
        <v>54</v>
      </c>
      <c r="F10" s="17" t="n">
        <v>0</v>
      </c>
      <c r="G10" s="17" t="n">
        <v>256</v>
      </c>
      <c r="H10" s="17" t="n">
        <f aca="false">F10-G10</f>
        <v>-256</v>
      </c>
      <c r="I10" s="16" t="str">
        <f aca="false">IF(H10&gt;=0,"Cash in","Cash out")</f>
        <v>Cash out</v>
      </c>
      <c r="J10" s="16" t="str">
        <f aca="false">IFERROR(INDEX(Categories!$B$5:$B$19,MATCH(1,INDEX(--ISNUMBER(SEARCH(Categories!$A$5:$A$19,UPPER($B10))),0),0)),IF(H10&gt;=0,"Uncategorised income","Uncategorised expense"))</f>
        <v>Managing agent fees</v>
      </c>
      <c r="K10" s="16" t="str">
        <f aca="false">TEXT(A10,"yyyy-mm")</f>
        <v>2025-05</v>
      </c>
    </row>
    <row r="11" customFormat="false" ht="15" hidden="false" customHeight="false" outlineLevel="0" collapsed="false">
      <c r="A11" s="12" t="n">
        <v>45809</v>
      </c>
      <c r="B11" s="13" t="s">
        <v>42</v>
      </c>
      <c r="C11" s="13" t="s">
        <v>43</v>
      </c>
      <c r="D11" s="13" t="s">
        <v>44</v>
      </c>
      <c r="E11" s="13" t="s">
        <v>55</v>
      </c>
      <c r="F11" s="14" t="n">
        <v>3200</v>
      </c>
      <c r="G11" s="14" t="n">
        <v>0</v>
      </c>
      <c r="H11" s="14" t="n">
        <f aca="false">F11-G11</f>
        <v>3200</v>
      </c>
      <c r="I11" s="13" t="str">
        <f aca="false">IF(H11&gt;=0,"Cash in","Cash out")</f>
        <v>Cash in</v>
      </c>
      <c r="J11" s="13" t="str">
        <f aca="false">IFERROR(INDEX(Categories!$B$5:$B$19,MATCH(1,INDEX(--ISNUMBER(SEARCH(Categories!$A$5:$A$19,UPPER($B11))),0),0)),IF(H11&gt;=0,"Uncategorised income","Uncategorised expense"))</f>
        <v>Rental income</v>
      </c>
      <c r="K11" s="13" t="str">
        <f aca="false">TEXT(A11,"yyyy-mm")</f>
        <v>2025-06</v>
      </c>
    </row>
    <row r="12" customFormat="false" ht="15" hidden="false" customHeight="false" outlineLevel="0" collapsed="false">
      <c r="A12" s="15" t="n">
        <v>45811</v>
      </c>
      <c r="B12" s="16" t="s">
        <v>46</v>
      </c>
      <c r="C12" s="16" t="s">
        <v>47</v>
      </c>
      <c r="D12" s="16" t="s">
        <v>44</v>
      </c>
      <c r="E12" s="16" t="s">
        <v>56</v>
      </c>
      <c r="F12" s="17" t="n">
        <v>0</v>
      </c>
      <c r="G12" s="17" t="n">
        <v>1450</v>
      </c>
      <c r="H12" s="17" t="n">
        <f aca="false">F12-G12</f>
        <v>-1450</v>
      </c>
      <c r="I12" s="16" t="str">
        <f aca="false">IF(H12&gt;=0,"Cash in","Cash out")</f>
        <v>Cash out</v>
      </c>
      <c r="J12" s="16" t="str">
        <f aca="false">IFERROR(INDEX(Categories!$B$5:$B$19,MATCH(1,INDEX(--ISNUMBER(SEARCH(Categories!$A$5:$A$19,UPPER($B12))),0),0)),IF(H12&gt;=0,"Uncategorised income","Uncategorised expense"))</f>
        <v>Mortgage interest</v>
      </c>
      <c r="K12" s="16" t="str">
        <f aca="false">TEXT(A12,"yyyy-mm")</f>
        <v>2025-06</v>
      </c>
    </row>
    <row r="13" customFormat="false" ht="15" hidden="false" customHeight="false" outlineLevel="0" collapsed="false">
      <c r="A13" s="12" t="n">
        <v>45813</v>
      </c>
      <c r="B13" s="13" t="s">
        <v>49</v>
      </c>
      <c r="C13" s="13" t="s">
        <v>50</v>
      </c>
      <c r="D13" s="13" t="s">
        <v>44</v>
      </c>
      <c r="E13" s="13" t="s">
        <v>57</v>
      </c>
      <c r="F13" s="14" t="n">
        <v>0</v>
      </c>
      <c r="G13" s="14" t="n">
        <v>256</v>
      </c>
      <c r="H13" s="14" t="n">
        <f aca="false">F13-G13</f>
        <v>-256</v>
      </c>
      <c r="I13" s="13" t="str">
        <f aca="false">IF(H13&gt;=0,"Cash in","Cash out")</f>
        <v>Cash out</v>
      </c>
      <c r="J13" s="13" t="str">
        <f aca="false">IFERROR(INDEX(Categories!$B$5:$B$19,MATCH(1,INDEX(--ISNUMBER(SEARCH(Categories!$A$5:$A$19,UPPER($B13))),0),0)),IF(H13&gt;=0,"Uncategorised income","Uncategorised expense"))</f>
        <v>Managing agent fees</v>
      </c>
      <c r="K13" s="13" t="str">
        <f aca="false">TEXT(A13,"yyyy-mm")</f>
        <v>2025-06</v>
      </c>
    </row>
    <row r="14" customFormat="false" ht="15" hidden="false" customHeight="false" outlineLevel="0" collapsed="false">
      <c r="A14" s="15" t="n">
        <v>45838</v>
      </c>
      <c r="B14" s="16" t="s">
        <v>58</v>
      </c>
      <c r="C14" s="16" t="s">
        <v>59</v>
      </c>
      <c r="D14" s="16" t="s">
        <v>60</v>
      </c>
      <c r="E14" s="16" t="s">
        <v>61</v>
      </c>
      <c r="F14" s="17" t="n">
        <v>0</v>
      </c>
      <c r="G14" s="17" t="n">
        <v>9100</v>
      </c>
      <c r="H14" s="17" t="n">
        <f aca="false">F14-G14</f>
        <v>-9100</v>
      </c>
      <c r="I14" s="16" t="str">
        <f aca="false">IF(H14&gt;=0,"Cash in","Cash out")</f>
        <v>Cash out</v>
      </c>
      <c r="J14" s="16" t="str">
        <f aca="false">IFERROR(INDEX(Categories!$B$5:$B$19,MATCH(1,INDEX(--ISNUMBER(SEARCH(Categories!$A$5:$A$19,UPPER($B14))),0),0)),IF(H14&gt;=0,"Uncategorised income","Uncategorised expense"))</f>
        <v>Directors remuneration</v>
      </c>
      <c r="K14" s="16" t="str">
        <f aca="false">TEXT(A14,"yyyy-mm")</f>
        <v>2025-06</v>
      </c>
    </row>
    <row r="15" customFormat="false" ht="15" hidden="false" customHeight="false" outlineLevel="0" collapsed="false">
      <c r="A15" s="12" t="n">
        <v>45839</v>
      </c>
      <c r="B15" s="13" t="s">
        <v>42</v>
      </c>
      <c r="C15" s="13" t="s">
        <v>43</v>
      </c>
      <c r="D15" s="13" t="s">
        <v>44</v>
      </c>
      <c r="E15" s="13" t="s">
        <v>62</v>
      </c>
      <c r="F15" s="14" t="n">
        <v>3200</v>
      </c>
      <c r="G15" s="14" t="n">
        <v>0</v>
      </c>
      <c r="H15" s="14" t="n">
        <f aca="false">F15-G15</f>
        <v>3200</v>
      </c>
      <c r="I15" s="13" t="str">
        <f aca="false">IF(H15&gt;=0,"Cash in","Cash out")</f>
        <v>Cash in</v>
      </c>
      <c r="J15" s="13" t="str">
        <f aca="false">IFERROR(INDEX(Categories!$B$5:$B$19,MATCH(1,INDEX(--ISNUMBER(SEARCH(Categories!$A$5:$A$19,UPPER($B15))),0),0)),IF(H15&gt;=0,"Uncategorised income","Uncategorised expense"))</f>
        <v>Rental income</v>
      </c>
      <c r="K15" s="13" t="str">
        <f aca="false">TEXT(A15,"yyyy-mm")</f>
        <v>2025-07</v>
      </c>
    </row>
    <row r="16" customFormat="false" ht="15" hidden="false" customHeight="false" outlineLevel="0" collapsed="false">
      <c r="A16" s="15" t="n">
        <v>45841</v>
      </c>
      <c r="B16" s="16" t="s">
        <v>46</v>
      </c>
      <c r="C16" s="16" t="s">
        <v>47</v>
      </c>
      <c r="D16" s="16" t="s">
        <v>44</v>
      </c>
      <c r="E16" s="16" t="s">
        <v>63</v>
      </c>
      <c r="F16" s="17" t="n">
        <v>0</v>
      </c>
      <c r="G16" s="17" t="n">
        <v>1450</v>
      </c>
      <c r="H16" s="17" t="n">
        <f aca="false">F16-G16</f>
        <v>-1450</v>
      </c>
      <c r="I16" s="16" t="str">
        <f aca="false">IF(H16&gt;=0,"Cash in","Cash out")</f>
        <v>Cash out</v>
      </c>
      <c r="J16" s="16" t="str">
        <f aca="false">IFERROR(INDEX(Categories!$B$5:$B$19,MATCH(1,INDEX(--ISNUMBER(SEARCH(Categories!$A$5:$A$19,UPPER($B16))),0),0)),IF(H16&gt;=0,"Uncategorised income","Uncategorised expense"))</f>
        <v>Mortgage interest</v>
      </c>
      <c r="K16" s="16" t="str">
        <f aca="false">TEXT(A16,"yyyy-mm")</f>
        <v>2025-07</v>
      </c>
    </row>
    <row r="17" customFormat="false" ht="15" hidden="false" customHeight="false" outlineLevel="0" collapsed="false">
      <c r="A17" s="12" t="n">
        <v>45843</v>
      </c>
      <c r="B17" s="13" t="s">
        <v>49</v>
      </c>
      <c r="C17" s="13" t="s">
        <v>50</v>
      </c>
      <c r="D17" s="13" t="s">
        <v>44</v>
      </c>
      <c r="E17" s="13" t="s">
        <v>64</v>
      </c>
      <c r="F17" s="14" t="n">
        <v>0</v>
      </c>
      <c r="G17" s="14" t="n">
        <v>256</v>
      </c>
      <c r="H17" s="14" t="n">
        <f aca="false">F17-G17</f>
        <v>-256</v>
      </c>
      <c r="I17" s="13" t="str">
        <f aca="false">IF(H17&gt;=0,"Cash in","Cash out")</f>
        <v>Cash out</v>
      </c>
      <c r="J17" s="13" t="str">
        <f aca="false">IFERROR(INDEX(Categories!$B$5:$B$19,MATCH(1,INDEX(--ISNUMBER(SEARCH(Categories!$A$5:$A$19,UPPER($B17))),0),0)),IF(H17&gt;=0,"Uncategorised income","Uncategorised expense"))</f>
        <v>Managing agent fees</v>
      </c>
      <c r="K17" s="13" t="str">
        <f aca="false">TEXT(A17,"yyyy-mm")</f>
        <v>2025-07</v>
      </c>
    </row>
    <row r="18" customFormat="false" ht="15" hidden="false" customHeight="false" outlineLevel="0" collapsed="false">
      <c r="A18" s="15" t="n">
        <v>45853</v>
      </c>
      <c r="B18" s="16" t="s">
        <v>65</v>
      </c>
      <c r="C18" s="16" t="s">
        <v>66</v>
      </c>
      <c r="D18" s="16" t="s">
        <v>44</v>
      </c>
      <c r="E18" s="16" t="s">
        <v>67</v>
      </c>
      <c r="F18" s="17" t="n">
        <v>0</v>
      </c>
      <c r="G18" s="17" t="n">
        <v>1250</v>
      </c>
      <c r="H18" s="17" t="n">
        <f aca="false">F18-G18</f>
        <v>-1250</v>
      </c>
      <c r="I18" s="16" t="str">
        <f aca="false">IF(H18&gt;=0,"Cash in","Cash out")</f>
        <v>Cash out</v>
      </c>
      <c r="J18" s="16" t="str">
        <f aca="false">IFERROR(INDEX(Categories!$B$5:$B$19,MATCH(1,INDEX(--ISNUMBER(SEARCH(Categories!$A$5:$A$19,UPPER($B18))),0),0)),IF(H18&gt;=0,"Uncategorised income","Uncategorised expense"))</f>
        <v>Insurance</v>
      </c>
      <c r="K18" s="16" t="str">
        <f aca="false">TEXT(A18,"yyyy-mm")</f>
        <v>2025-07</v>
      </c>
    </row>
    <row r="19" customFormat="false" ht="15" hidden="false" customHeight="false" outlineLevel="0" collapsed="false">
      <c r="A19" s="12" t="n">
        <v>45870</v>
      </c>
      <c r="B19" s="13" t="s">
        <v>42</v>
      </c>
      <c r="C19" s="13" t="s">
        <v>43</v>
      </c>
      <c r="D19" s="13" t="s">
        <v>44</v>
      </c>
      <c r="E19" s="13" t="s">
        <v>68</v>
      </c>
      <c r="F19" s="14" t="n">
        <v>3200</v>
      </c>
      <c r="G19" s="14" t="n">
        <v>0</v>
      </c>
      <c r="H19" s="14" t="n">
        <f aca="false">F19-G19</f>
        <v>3200</v>
      </c>
      <c r="I19" s="13" t="str">
        <f aca="false">IF(H19&gt;=0,"Cash in","Cash out")</f>
        <v>Cash in</v>
      </c>
      <c r="J19" s="13" t="str">
        <f aca="false">IFERROR(INDEX(Categories!$B$5:$B$19,MATCH(1,INDEX(--ISNUMBER(SEARCH(Categories!$A$5:$A$19,UPPER($B19))),0),0)),IF(H19&gt;=0,"Uncategorised income","Uncategorised expense"))</f>
        <v>Rental income</v>
      </c>
      <c r="K19" s="13" t="str">
        <f aca="false">TEXT(A19,"yyyy-mm")</f>
        <v>2025-08</v>
      </c>
    </row>
    <row r="20" customFormat="false" ht="15" hidden="false" customHeight="false" outlineLevel="0" collapsed="false">
      <c r="A20" s="15" t="n">
        <v>45872</v>
      </c>
      <c r="B20" s="16" t="s">
        <v>46</v>
      </c>
      <c r="C20" s="16" t="s">
        <v>47</v>
      </c>
      <c r="D20" s="16" t="s">
        <v>44</v>
      </c>
      <c r="E20" s="16" t="s">
        <v>69</v>
      </c>
      <c r="F20" s="17" t="n">
        <v>0</v>
      </c>
      <c r="G20" s="17" t="n">
        <v>1450</v>
      </c>
      <c r="H20" s="17" t="n">
        <f aca="false">F20-G20</f>
        <v>-1450</v>
      </c>
      <c r="I20" s="16" t="str">
        <f aca="false">IF(H20&gt;=0,"Cash in","Cash out")</f>
        <v>Cash out</v>
      </c>
      <c r="J20" s="16" t="str">
        <f aca="false">IFERROR(INDEX(Categories!$B$5:$B$19,MATCH(1,INDEX(--ISNUMBER(SEARCH(Categories!$A$5:$A$19,UPPER($B20))),0),0)),IF(H20&gt;=0,"Uncategorised income","Uncategorised expense"))</f>
        <v>Mortgage interest</v>
      </c>
      <c r="K20" s="16" t="str">
        <f aca="false">TEXT(A20,"yyyy-mm")</f>
        <v>2025-08</v>
      </c>
    </row>
    <row r="21" customFormat="false" ht="15" hidden="false" customHeight="false" outlineLevel="0" collapsed="false">
      <c r="A21" s="12" t="n">
        <v>45874</v>
      </c>
      <c r="B21" s="13" t="s">
        <v>49</v>
      </c>
      <c r="C21" s="13" t="s">
        <v>50</v>
      </c>
      <c r="D21" s="13" t="s">
        <v>44</v>
      </c>
      <c r="E21" s="13" t="s">
        <v>70</v>
      </c>
      <c r="F21" s="14" t="n">
        <v>0</v>
      </c>
      <c r="G21" s="14" t="n">
        <v>256</v>
      </c>
      <c r="H21" s="14" t="n">
        <f aca="false">F21-G21</f>
        <v>-256</v>
      </c>
      <c r="I21" s="13" t="str">
        <f aca="false">IF(H21&gt;=0,"Cash in","Cash out")</f>
        <v>Cash out</v>
      </c>
      <c r="J21" s="13" t="str">
        <f aca="false">IFERROR(INDEX(Categories!$B$5:$B$19,MATCH(1,INDEX(--ISNUMBER(SEARCH(Categories!$A$5:$A$19,UPPER($B21))),0),0)),IF(H21&gt;=0,"Uncategorised income","Uncategorised expense"))</f>
        <v>Managing agent fees</v>
      </c>
      <c r="K21" s="13" t="str">
        <f aca="false">TEXT(A21,"yyyy-mm")</f>
        <v>2025-08</v>
      </c>
    </row>
    <row r="22" customFormat="false" ht="15" hidden="false" customHeight="false" outlineLevel="0" collapsed="false">
      <c r="A22" s="15" t="n">
        <v>45901</v>
      </c>
      <c r="B22" s="16" t="s">
        <v>42</v>
      </c>
      <c r="C22" s="16" t="s">
        <v>43</v>
      </c>
      <c r="D22" s="16" t="s">
        <v>44</v>
      </c>
      <c r="E22" s="16" t="s">
        <v>71</v>
      </c>
      <c r="F22" s="17" t="n">
        <v>3200</v>
      </c>
      <c r="G22" s="17" t="n">
        <v>0</v>
      </c>
      <c r="H22" s="17" t="n">
        <f aca="false">F22-G22</f>
        <v>3200</v>
      </c>
      <c r="I22" s="16" t="str">
        <f aca="false">IF(H22&gt;=0,"Cash in","Cash out")</f>
        <v>Cash in</v>
      </c>
      <c r="J22" s="16" t="str">
        <f aca="false">IFERROR(INDEX(Categories!$B$5:$B$19,MATCH(1,INDEX(--ISNUMBER(SEARCH(Categories!$A$5:$A$19,UPPER($B22))),0),0)),IF(H22&gt;=0,"Uncategorised income","Uncategorised expense"))</f>
        <v>Rental income</v>
      </c>
      <c r="K22" s="16" t="str">
        <f aca="false">TEXT(A22,"yyyy-mm")</f>
        <v>2025-09</v>
      </c>
    </row>
    <row r="23" customFormat="false" ht="15" hidden="false" customHeight="false" outlineLevel="0" collapsed="false">
      <c r="A23" s="12" t="n">
        <v>45903</v>
      </c>
      <c r="B23" s="13" t="s">
        <v>46</v>
      </c>
      <c r="C23" s="13" t="s">
        <v>47</v>
      </c>
      <c r="D23" s="13" t="s">
        <v>44</v>
      </c>
      <c r="E23" s="13" t="s">
        <v>72</v>
      </c>
      <c r="F23" s="14" t="n">
        <v>0</v>
      </c>
      <c r="G23" s="14" t="n">
        <v>1450</v>
      </c>
      <c r="H23" s="14" t="n">
        <f aca="false">F23-G23</f>
        <v>-1450</v>
      </c>
      <c r="I23" s="13" t="str">
        <f aca="false">IF(H23&gt;=0,"Cash in","Cash out")</f>
        <v>Cash out</v>
      </c>
      <c r="J23" s="13" t="str">
        <f aca="false">IFERROR(INDEX(Categories!$B$5:$B$19,MATCH(1,INDEX(--ISNUMBER(SEARCH(Categories!$A$5:$A$19,UPPER($B23))),0),0)),IF(H23&gt;=0,"Uncategorised income","Uncategorised expense"))</f>
        <v>Mortgage interest</v>
      </c>
      <c r="K23" s="13" t="str">
        <f aca="false">TEXT(A23,"yyyy-mm")</f>
        <v>2025-09</v>
      </c>
    </row>
    <row r="24" customFormat="false" ht="15" hidden="false" customHeight="false" outlineLevel="0" collapsed="false">
      <c r="A24" s="15" t="n">
        <v>45905</v>
      </c>
      <c r="B24" s="16" t="s">
        <v>49</v>
      </c>
      <c r="C24" s="16" t="s">
        <v>50</v>
      </c>
      <c r="D24" s="16" t="s">
        <v>44</v>
      </c>
      <c r="E24" s="16" t="s">
        <v>73</v>
      </c>
      <c r="F24" s="17" t="n">
        <v>0</v>
      </c>
      <c r="G24" s="17" t="n">
        <v>256</v>
      </c>
      <c r="H24" s="17" t="n">
        <f aca="false">F24-G24</f>
        <v>-256</v>
      </c>
      <c r="I24" s="16" t="str">
        <f aca="false">IF(H24&gt;=0,"Cash in","Cash out")</f>
        <v>Cash out</v>
      </c>
      <c r="J24" s="16" t="str">
        <f aca="false">IFERROR(INDEX(Categories!$B$5:$B$19,MATCH(1,INDEX(--ISNUMBER(SEARCH(Categories!$A$5:$A$19,UPPER($B24))),0),0)),IF(H24&gt;=0,"Uncategorised income","Uncategorised expense"))</f>
        <v>Managing agent fees</v>
      </c>
      <c r="K24" s="16" t="str">
        <f aca="false">TEXT(A24,"yyyy-mm")</f>
        <v>2025-09</v>
      </c>
    </row>
    <row r="25" customFormat="false" ht="15" hidden="false" customHeight="false" outlineLevel="0" collapsed="false">
      <c r="A25" s="12" t="n">
        <v>45931</v>
      </c>
      <c r="B25" s="13" t="s">
        <v>42</v>
      </c>
      <c r="C25" s="13" t="s">
        <v>43</v>
      </c>
      <c r="D25" s="13" t="s">
        <v>44</v>
      </c>
      <c r="E25" s="13" t="s">
        <v>74</v>
      </c>
      <c r="F25" s="14" t="n">
        <v>3200</v>
      </c>
      <c r="G25" s="14" t="n">
        <v>0</v>
      </c>
      <c r="H25" s="14" t="n">
        <f aca="false">F25-G25</f>
        <v>3200</v>
      </c>
      <c r="I25" s="13" t="str">
        <f aca="false">IF(H25&gt;=0,"Cash in","Cash out")</f>
        <v>Cash in</v>
      </c>
      <c r="J25" s="13" t="str">
        <f aca="false">IFERROR(INDEX(Categories!$B$5:$B$19,MATCH(1,INDEX(--ISNUMBER(SEARCH(Categories!$A$5:$A$19,UPPER($B25))),0),0)),IF(H25&gt;=0,"Uncategorised income","Uncategorised expense"))</f>
        <v>Rental income</v>
      </c>
      <c r="K25" s="13" t="str">
        <f aca="false">TEXT(A25,"yyyy-mm")</f>
        <v>2025-10</v>
      </c>
    </row>
    <row r="26" customFormat="false" ht="15" hidden="false" customHeight="false" outlineLevel="0" collapsed="false">
      <c r="A26" s="15" t="n">
        <v>45933</v>
      </c>
      <c r="B26" s="16" t="s">
        <v>46</v>
      </c>
      <c r="C26" s="16" t="s">
        <v>47</v>
      </c>
      <c r="D26" s="16" t="s">
        <v>44</v>
      </c>
      <c r="E26" s="16" t="s">
        <v>75</v>
      </c>
      <c r="F26" s="17" t="n">
        <v>0</v>
      </c>
      <c r="G26" s="17" t="n">
        <v>1450</v>
      </c>
      <c r="H26" s="17" t="n">
        <f aca="false">F26-G26</f>
        <v>-1450</v>
      </c>
      <c r="I26" s="16" t="str">
        <f aca="false">IF(H26&gt;=0,"Cash in","Cash out")</f>
        <v>Cash out</v>
      </c>
      <c r="J26" s="16" t="str">
        <f aca="false">IFERROR(INDEX(Categories!$B$5:$B$19,MATCH(1,INDEX(--ISNUMBER(SEARCH(Categories!$A$5:$A$19,UPPER($B26))),0),0)),IF(H26&gt;=0,"Uncategorised income","Uncategorised expense"))</f>
        <v>Mortgage interest</v>
      </c>
      <c r="K26" s="16" t="str">
        <f aca="false">TEXT(A26,"yyyy-mm")</f>
        <v>2025-10</v>
      </c>
    </row>
    <row r="27" customFormat="false" ht="15" hidden="false" customHeight="false" outlineLevel="0" collapsed="false">
      <c r="A27" s="12" t="n">
        <v>45935</v>
      </c>
      <c r="B27" s="13" t="s">
        <v>49</v>
      </c>
      <c r="C27" s="13" t="s">
        <v>50</v>
      </c>
      <c r="D27" s="13" t="s">
        <v>44</v>
      </c>
      <c r="E27" s="13" t="s">
        <v>76</v>
      </c>
      <c r="F27" s="14" t="n">
        <v>0</v>
      </c>
      <c r="G27" s="14" t="n">
        <v>256</v>
      </c>
      <c r="H27" s="14" t="n">
        <f aca="false">F27-G27</f>
        <v>-256</v>
      </c>
      <c r="I27" s="13" t="str">
        <f aca="false">IF(H27&gt;=0,"Cash in","Cash out")</f>
        <v>Cash out</v>
      </c>
      <c r="J27" s="13" t="str">
        <f aca="false">IFERROR(INDEX(Categories!$B$5:$B$19,MATCH(1,INDEX(--ISNUMBER(SEARCH(Categories!$A$5:$A$19,UPPER($B27))),0),0)),IF(H27&gt;=0,"Uncategorised income","Uncategorised expense"))</f>
        <v>Managing agent fees</v>
      </c>
      <c r="K27" s="13" t="str">
        <f aca="false">TEXT(A27,"yyyy-mm")</f>
        <v>2025-10</v>
      </c>
    </row>
    <row r="28" customFormat="false" ht="15" hidden="false" customHeight="false" outlineLevel="0" collapsed="false">
      <c r="A28" s="15" t="n">
        <v>45962</v>
      </c>
      <c r="B28" s="16" t="s">
        <v>42</v>
      </c>
      <c r="C28" s="16" t="s">
        <v>43</v>
      </c>
      <c r="D28" s="16" t="s">
        <v>44</v>
      </c>
      <c r="E28" s="16" t="s">
        <v>77</v>
      </c>
      <c r="F28" s="17" t="n">
        <v>3200</v>
      </c>
      <c r="G28" s="17" t="n">
        <v>0</v>
      </c>
      <c r="H28" s="17" t="n">
        <f aca="false">F28-G28</f>
        <v>3200</v>
      </c>
      <c r="I28" s="16" t="str">
        <f aca="false">IF(H28&gt;=0,"Cash in","Cash out")</f>
        <v>Cash in</v>
      </c>
      <c r="J28" s="16" t="str">
        <f aca="false">IFERROR(INDEX(Categories!$B$5:$B$19,MATCH(1,INDEX(--ISNUMBER(SEARCH(Categories!$A$5:$A$19,UPPER($B28))),0),0)),IF(H28&gt;=0,"Uncategorised income","Uncategorised expense"))</f>
        <v>Rental income</v>
      </c>
      <c r="K28" s="16" t="str">
        <f aca="false">TEXT(A28,"yyyy-mm")</f>
        <v>2025-11</v>
      </c>
    </row>
    <row r="29" customFormat="false" ht="15" hidden="false" customHeight="false" outlineLevel="0" collapsed="false">
      <c r="A29" s="12" t="n">
        <v>45964</v>
      </c>
      <c r="B29" s="13" t="s">
        <v>46</v>
      </c>
      <c r="C29" s="13" t="s">
        <v>47</v>
      </c>
      <c r="D29" s="13" t="s">
        <v>44</v>
      </c>
      <c r="E29" s="13" t="s">
        <v>78</v>
      </c>
      <c r="F29" s="14" t="n">
        <v>0</v>
      </c>
      <c r="G29" s="14" t="n">
        <v>1450</v>
      </c>
      <c r="H29" s="14" t="n">
        <f aca="false">F29-G29</f>
        <v>-1450</v>
      </c>
      <c r="I29" s="13" t="str">
        <f aca="false">IF(H29&gt;=0,"Cash in","Cash out")</f>
        <v>Cash out</v>
      </c>
      <c r="J29" s="13" t="str">
        <f aca="false">IFERROR(INDEX(Categories!$B$5:$B$19,MATCH(1,INDEX(--ISNUMBER(SEARCH(Categories!$A$5:$A$19,UPPER($B29))),0),0)),IF(H29&gt;=0,"Uncategorised income","Uncategorised expense"))</f>
        <v>Mortgage interest</v>
      </c>
      <c r="K29" s="13" t="str">
        <f aca="false">TEXT(A29,"yyyy-mm")</f>
        <v>2025-11</v>
      </c>
    </row>
    <row r="30" customFormat="false" ht="15" hidden="false" customHeight="false" outlineLevel="0" collapsed="false">
      <c r="A30" s="15" t="n">
        <v>45966</v>
      </c>
      <c r="B30" s="16" t="s">
        <v>49</v>
      </c>
      <c r="C30" s="16" t="s">
        <v>50</v>
      </c>
      <c r="D30" s="16" t="s">
        <v>44</v>
      </c>
      <c r="E30" s="16" t="s">
        <v>79</v>
      </c>
      <c r="F30" s="17" t="n">
        <v>0</v>
      </c>
      <c r="G30" s="17" t="n">
        <v>256</v>
      </c>
      <c r="H30" s="17" t="n">
        <f aca="false">F30-G30</f>
        <v>-256</v>
      </c>
      <c r="I30" s="16" t="str">
        <f aca="false">IF(H30&gt;=0,"Cash in","Cash out")</f>
        <v>Cash out</v>
      </c>
      <c r="J30" s="16" t="str">
        <f aca="false">IFERROR(INDEX(Categories!$B$5:$B$19,MATCH(1,INDEX(--ISNUMBER(SEARCH(Categories!$A$5:$A$19,UPPER($B30))),0),0)),IF(H30&gt;=0,"Uncategorised income","Uncategorised expense"))</f>
        <v>Managing agent fees</v>
      </c>
      <c r="K30" s="16" t="str">
        <f aca="false">TEXT(A30,"yyyy-mm")</f>
        <v>2025-11</v>
      </c>
    </row>
    <row r="31" customFormat="false" ht="15" hidden="false" customHeight="false" outlineLevel="0" collapsed="false">
      <c r="A31" s="12" t="n">
        <v>45992</v>
      </c>
      <c r="B31" s="13" t="s">
        <v>42</v>
      </c>
      <c r="C31" s="13" t="s">
        <v>43</v>
      </c>
      <c r="D31" s="13" t="s">
        <v>44</v>
      </c>
      <c r="E31" s="13" t="s">
        <v>80</v>
      </c>
      <c r="F31" s="14" t="n">
        <v>3200</v>
      </c>
      <c r="G31" s="14" t="n">
        <v>0</v>
      </c>
      <c r="H31" s="14" t="n">
        <f aca="false">F31-G31</f>
        <v>3200</v>
      </c>
      <c r="I31" s="13" t="str">
        <f aca="false">IF(H31&gt;=0,"Cash in","Cash out")</f>
        <v>Cash in</v>
      </c>
      <c r="J31" s="13" t="str">
        <f aca="false">IFERROR(INDEX(Categories!$B$5:$B$19,MATCH(1,INDEX(--ISNUMBER(SEARCH(Categories!$A$5:$A$19,UPPER($B31))),0),0)),IF(H31&gt;=0,"Uncategorised income","Uncategorised expense"))</f>
        <v>Rental income</v>
      </c>
      <c r="K31" s="13" t="str">
        <f aca="false">TEXT(A31,"yyyy-mm")</f>
        <v>2025-12</v>
      </c>
    </row>
    <row r="32" customFormat="false" ht="15" hidden="false" customHeight="false" outlineLevel="0" collapsed="false">
      <c r="A32" s="15" t="n">
        <v>45994</v>
      </c>
      <c r="B32" s="16" t="s">
        <v>46</v>
      </c>
      <c r="C32" s="16" t="s">
        <v>47</v>
      </c>
      <c r="D32" s="16" t="s">
        <v>44</v>
      </c>
      <c r="E32" s="16" t="s">
        <v>81</v>
      </c>
      <c r="F32" s="17" t="n">
        <v>0</v>
      </c>
      <c r="G32" s="17" t="n">
        <v>1450</v>
      </c>
      <c r="H32" s="17" t="n">
        <f aca="false">F32-G32</f>
        <v>-1450</v>
      </c>
      <c r="I32" s="16" t="str">
        <f aca="false">IF(H32&gt;=0,"Cash in","Cash out")</f>
        <v>Cash out</v>
      </c>
      <c r="J32" s="16" t="str">
        <f aca="false">IFERROR(INDEX(Categories!$B$5:$B$19,MATCH(1,INDEX(--ISNUMBER(SEARCH(Categories!$A$5:$A$19,UPPER($B32))),0),0)),IF(H32&gt;=0,"Uncategorised income","Uncategorised expense"))</f>
        <v>Mortgage interest</v>
      </c>
      <c r="K32" s="16" t="str">
        <f aca="false">TEXT(A32,"yyyy-mm")</f>
        <v>2025-12</v>
      </c>
    </row>
    <row r="33" customFormat="false" ht="15" hidden="false" customHeight="false" outlineLevel="0" collapsed="false">
      <c r="A33" s="12" t="n">
        <v>45996</v>
      </c>
      <c r="B33" s="13" t="s">
        <v>49</v>
      </c>
      <c r="C33" s="13" t="s">
        <v>50</v>
      </c>
      <c r="D33" s="13" t="s">
        <v>44</v>
      </c>
      <c r="E33" s="13" t="s">
        <v>82</v>
      </c>
      <c r="F33" s="14" t="n">
        <v>0</v>
      </c>
      <c r="G33" s="14" t="n">
        <v>256</v>
      </c>
      <c r="H33" s="14" t="n">
        <f aca="false">F33-G33</f>
        <v>-256</v>
      </c>
      <c r="I33" s="13" t="str">
        <f aca="false">IF(H33&gt;=0,"Cash in","Cash out")</f>
        <v>Cash out</v>
      </c>
      <c r="J33" s="13" t="str">
        <f aca="false">IFERROR(INDEX(Categories!$B$5:$B$19,MATCH(1,INDEX(--ISNUMBER(SEARCH(Categories!$A$5:$A$19,UPPER($B33))),0),0)),IF(H33&gt;=0,"Uncategorised income","Uncategorised expense"))</f>
        <v>Managing agent fees</v>
      </c>
      <c r="K33" s="13" t="str">
        <f aca="false">TEXT(A33,"yyyy-mm")</f>
        <v>2025-12</v>
      </c>
    </row>
    <row r="34" customFormat="false" ht="15" hidden="false" customHeight="false" outlineLevel="0" collapsed="false">
      <c r="A34" s="15" t="n">
        <v>46023</v>
      </c>
      <c r="B34" s="16" t="s">
        <v>42</v>
      </c>
      <c r="C34" s="16" t="s">
        <v>43</v>
      </c>
      <c r="D34" s="16" t="s">
        <v>44</v>
      </c>
      <c r="E34" s="16" t="s">
        <v>83</v>
      </c>
      <c r="F34" s="17" t="n">
        <v>3200</v>
      </c>
      <c r="G34" s="17" t="n">
        <v>0</v>
      </c>
      <c r="H34" s="17" t="n">
        <f aca="false">F34-G34</f>
        <v>3200</v>
      </c>
      <c r="I34" s="16" t="str">
        <f aca="false">IF(H34&gt;=0,"Cash in","Cash out")</f>
        <v>Cash in</v>
      </c>
      <c r="J34" s="16" t="str">
        <f aca="false">IFERROR(INDEX(Categories!$B$5:$B$19,MATCH(1,INDEX(--ISNUMBER(SEARCH(Categories!$A$5:$A$19,UPPER($B34))),0),0)),IF(H34&gt;=0,"Uncategorised income","Uncategorised expense"))</f>
        <v>Rental income</v>
      </c>
      <c r="K34" s="16" t="str">
        <f aca="false">TEXT(A34,"yyyy-mm")</f>
        <v>2026-01</v>
      </c>
    </row>
    <row r="35" customFormat="false" ht="15" hidden="false" customHeight="false" outlineLevel="0" collapsed="false">
      <c r="A35" s="12" t="n">
        <v>46025</v>
      </c>
      <c r="B35" s="13" t="s">
        <v>46</v>
      </c>
      <c r="C35" s="13" t="s">
        <v>47</v>
      </c>
      <c r="D35" s="13" t="s">
        <v>44</v>
      </c>
      <c r="E35" s="13" t="s">
        <v>84</v>
      </c>
      <c r="F35" s="14" t="n">
        <v>0</v>
      </c>
      <c r="G35" s="14" t="n">
        <v>1450</v>
      </c>
      <c r="H35" s="14" t="n">
        <f aca="false">F35-G35</f>
        <v>-1450</v>
      </c>
      <c r="I35" s="13" t="str">
        <f aca="false">IF(H35&gt;=0,"Cash in","Cash out")</f>
        <v>Cash out</v>
      </c>
      <c r="J35" s="13" t="str">
        <f aca="false">IFERROR(INDEX(Categories!$B$5:$B$19,MATCH(1,INDEX(--ISNUMBER(SEARCH(Categories!$A$5:$A$19,UPPER($B35))),0),0)),IF(H35&gt;=0,"Uncategorised income","Uncategorised expense"))</f>
        <v>Mortgage interest</v>
      </c>
      <c r="K35" s="13" t="str">
        <f aca="false">TEXT(A35,"yyyy-mm")</f>
        <v>2026-01</v>
      </c>
    </row>
    <row r="36" customFormat="false" ht="15" hidden="false" customHeight="false" outlineLevel="0" collapsed="false">
      <c r="A36" s="15" t="n">
        <v>46027</v>
      </c>
      <c r="B36" s="16" t="s">
        <v>49</v>
      </c>
      <c r="C36" s="16" t="s">
        <v>50</v>
      </c>
      <c r="D36" s="16" t="s">
        <v>44</v>
      </c>
      <c r="E36" s="16" t="s">
        <v>85</v>
      </c>
      <c r="F36" s="17" t="n">
        <v>0</v>
      </c>
      <c r="G36" s="17" t="n">
        <v>256</v>
      </c>
      <c r="H36" s="17" t="n">
        <f aca="false">F36-G36</f>
        <v>-256</v>
      </c>
      <c r="I36" s="16" t="str">
        <f aca="false">IF(H36&gt;=0,"Cash in","Cash out")</f>
        <v>Cash out</v>
      </c>
      <c r="J36" s="16" t="str">
        <f aca="false">IFERROR(INDEX(Categories!$B$5:$B$19,MATCH(1,INDEX(--ISNUMBER(SEARCH(Categories!$A$5:$A$19,UPPER($B36))),0),0)),IF(H36&gt;=0,"Uncategorised income","Uncategorised expense"))</f>
        <v>Managing agent fees</v>
      </c>
      <c r="K36" s="16" t="str">
        <f aca="false">TEXT(A36,"yyyy-mm")</f>
        <v>2026-01</v>
      </c>
    </row>
    <row r="37" customFormat="false" ht="15" hidden="false" customHeight="false" outlineLevel="0" collapsed="false">
      <c r="A37" s="12" t="n">
        <v>46054</v>
      </c>
      <c r="B37" s="13" t="s">
        <v>42</v>
      </c>
      <c r="C37" s="13" t="s">
        <v>43</v>
      </c>
      <c r="D37" s="13" t="s">
        <v>44</v>
      </c>
      <c r="E37" s="13" t="s">
        <v>86</v>
      </c>
      <c r="F37" s="14" t="n">
        <v>3200</v>
      </c>
      <c r="G37" s="14" t="n">
        <v>0</v>
      </c>
      <c r="H37" s="14" t="n">
        <f aca="false">F37-G37</f>
        <v>3200</v>
      </c>
      <c r="I37" s="13" t="str">
        <f aca="false">IF(H37&gt;=0,"Cash in","Cash out")</f>
        <v>Cash in</v>
      </c>
      <c r="J37" s="13" t="str">
        <f aca="false">IFERROR(INDEX(Categories!$B$5:$B$19,MATCH(1,INDEX(--ISNUMBER(SEARCH(Categories!$A$5:$A$19,UPPER($B37))),0),0)),IF(H37&gt;=0,"Uncategorised income","Uncategorised expense"))</f>
        <v>Rental income</v>
      </c>
      <c r="K37" s="13" t="str">
        <f aca="false">TEXT(A37,"yyyy-mm")</f>
        <v>2026-02</v>
      </c>
    </row>
    <row r="38" customFormat="false" ht="15" hidden="false" customHeight="false" outlineLevel="0" collapsed="false">
      <c r="A38" s="15" t="n">
        <v>46056</v>
      </c>
      <c r="B38" s="16" t="s">
        <v>46</v>
      </c>
      <c r="C38" s="16" t="s">
        <v>47</v>
      </c>
      <c r="D38" s="16" t="s">
        <v>44</v>
      </c>
      <c r="E38" s="16" t="s">
        <v>87</v>
      </c>
      <c r="F38" s="17" t="n">
        <v>0</v>
      </c>
      <c r="G38" s="17" t="n">
        <v>1450</v>
      </c>
      <c r="H38" s="17" t="n">
        <f aca="false">F38-G38</f>
        <v>-1450</v>
      </c>
      <c r="I38" s="16" t="str">
        <f aca="false">IF(H38&gt;=0,"Cash in","Cash out")</f>
        <v>Cash out</v>
      </c>
      <c r="J38" s="16" t="str">
        <f aca="false">IFERROR(INDEX(Categories!$B$5:$B$19,MATCH(1,INDEX(--ISNUMBER(SEARCH(Categories!$A$5:$A$19,UPPER($B38))),0),0)),IF(H38&gt;=0,"Uncategorised income","Uncategorised expense"))</f>
        <v>Mortgage interest</v>
      </c>
      <c r="K38" s="16" t="str">
        <f aca="false">TEXT(A38,"yyyy-mm")</f>
        <v>2026-02</v>
      </c>
    </row>
    <row r="39" customFormat="false" ht="15" hidden="false" customHeight="false" outlineLevel="0" collapsed="false">
      <c r="A39" s="12" t="n">
        <v>46058</v>
      </c>
      <c r="B39" s="13" t="s">
        <v>49</v>
      </c>
      <c r="C39" s="13" t="s">
        <v>50</v>
      </c>
      <c r="D39" s="13" t="s">
        <v>44</v>
      </c>
      <c r="E39" s="13" t="s">
        <v>88</v>
      </c>
      <c r="F39" s="14" t="n">
        <v>0</v>
      </c>
      <c r="G39" s="14" t="n">
        <v>256</v>
      </c>
      <c r="H39" s="14" t="n">
        <f aca="false">F39-G39</f>
        <v>-256</v>
      </c>
      <c r="I39" s="13" t="str">
        <f aca="false">IF(H39&gt;=0,"Cash in","Cash out")</f>
        <v>Cash out</v>
      </c>
      <c r="J39" s="13" t="str">
        <f aca="false">IFERROR(INDEX(Categories!$B$5:$B$19,MATCH(1,INDEX(--ISNUMBER(SEARCH(Categories!$A$5:$A$19,UPPER($B39))),0),0)),IF(H39&gt;=0,"Uncategorised income","Uncategorised expense"))</f>
        <v>Managing agent fees</v>
      </c>
      <c r="K39" s="13" t="str">
        <f aca="false">TEXT(A39,"yyyy-mm")</f>
        <v>2026-02</v>
      </c>
    </row>
    <row r="40" customFormat="false" ht="15" hidden="false" customHeight="false" outlineLevel="0" collapsed="false">
      <c r="A40" s="15" t="n">
        <v>46063</v>
      </c>
      <c r="B40" s="16" t="s">
        <v>89</v>
      </c>
      <c r="C40" s="16" t="s">
        <v>90</v>
      </c>
      <c r="D40" s="16" t="s">
        <v>60</v>
      </c>
      <c r="E40" s="16" t="s">
        <v>91</v>
      </c>
      <c r="F40" s="17" t="n">
        <v>0</v>
      </c>
      <c r="G40" s="17" t="n">
        <v>2100</v>
      </c>
      <c r="H40" s="17" t="n">
        <f aca="false">F40-G40</f>
        <v>-2100</v>
      </c>
      <c r="I40" s="16" t="str">
        <f aca="false">IF(H40&gt;=0,"Cash in","Cash out")</f>
        <v>Cash out</v>
      </c>
      <c r="J40" s="16" t="str">
        <f aca="false">IFERROR(INDEX(Categories!$B$5:$B$19,MATCH(1,INDEX(--ISNUMBER(SEARCH(Categories!$A$5:$A$19,UPPER($B40))),0),0)),IF(H40&gt;=0,"Uncategorised income","Uncategorised expense"))</f>
        <v>Professional fees</v>
      </c>
      <c r="K40" s="16" t="str">
        <f aca="false">TEXT(A40,"yyyy-mm")</f>
        <v>2026-02</v>
      </c>
    </row>
    <row r="41" customFormat="false" ht="15" hidden="false" customHeight="false" outlineLevel="0" collapsed="false">
      <c r="A41" s="12" t="n">
        <v>46082</v>
      </c>
      <c r="B41" s="13" t="s">
        <v>42</v>
      </c>
      <c r="C41" s="13" t="s">
        <v>43</v>
      </c>
      <c r="D41" s="13" t="s">
        <v>44</v>
      </c>
      <c r="E41" s="13" t="s">
        <v>92</v>
      </c>
      <c r="F41" s="14" t="n">
        <v>3200</v>
      </c>
      <c r="G41" s="14" t="n">
        <v>0</v>
      </c>
      <c r="H41" s="14" t="n">
        <f aca="false">F41-G41</f>
        <v>3200</v>
      </c>
      <c r="I41" s="13" t="str">
        <f aca="false">IF(H41&gt;=0,"Cash in","Cash out")</f>
        <v>Cash in</v>
      </c>
      <c r="J41" s="13" t="str">
        <f aca="false">IFERROR(INDEX(Categories!$B$5:$B$19,MATCH(1,INDEX(--ISNUMBER(SEARCH(Categories!$A$5:$A$19,UPPER($B41))),0),0)),IF(H41&gt;=0,"Uncategorised income","Uncategorised expense"))</f>
        <v>Rental income</v>
      </c>
      <c r="K41" s="13" t="str">
        <f aca="false">TEXT(A41,"yyyy-mm")</f>
        <v>2026-03</v>
      </c>
    </row>
    <row r="42" customFormat="false" ht="15" hidden="false" customHeight="false" outlineLevel="0" collapsed="false">
      <c r="A42" s="15" t="n">
        <v>46084</v>
      </c>
      <c r="B42" s="16" t="s">
        <v>46</v>
      </c>
      <c r="C42" s="16" t="s">
        <v>47</v>
      </c>
      <c r="D42" s="16" t="s">
        <v>44</v>
      </c>
      <c r="E42" s="16" t="s">
        <v>93</v>
      </c>
      <c r="F42" s="17" t="n">
        <v>0</v>
      </c>
      <c r="G42" s="17" t="n">
        <v>1450</v>
      </c>
      <c r="H42" s="17" t="n">
        <f aca="false">F42-G42</f>
        <v>-1450</v>
      </c>
      <c r="I42" s="16" t="str">
        <f aca="false">IF(H42&gt;=0,"Cash in","Cash out")</f>
        <v>Cash out</v>
      </c>
      <c r="J42" s="16" t="str">
        <f aca="false">IFERROR(INDEX(Categories!$B$5:$B$19,MATCH(1,INDEX(--ISNUMBER(SEARCH(Categories!$A$5:$A$19,UPPER($B42))),0),0)),IF(H42&gt;=0,"Uncategorised income","Uncategorised expense"))</f>
        <v>Mortgage interest</v>
      </c>
      <c r="K42" s="16" t="str">
        <f aca="false">TEXT(A42,"yyyy-mm")</f>
        <v>2026-03</v>
      </c>
    </row>
    <row r="43" customFormat="false" ht="15" hidden="false" customHeight="false" outlineLevel="0" collapsed="false">
      <c r="A43" s="12" t="n">
        <v>46086</v>
      </c>
      <c r="B43" s="13" t="s">
        <v>49</v>
      </c>
      <c r="C43" s="13" t="s">
        <v>50</v>
      </c>
      <c r="D43" s="13" t="s">
        <v>44</v>
      </c>
      <c r="E43" s="13" t="s">
        <v>94</v>
      </c>
      <c r="F43" s="14" t="n">
        <v>0</v>
      </c>
      <c r="G43" s="14" t="n">
        <v>256</v>
      </c>
      <c r="H43" s="14" t="n">
        <f aca="false">F43-G43</f>
        <v>-256</v>
      </c>
      <c r="I43" s="13" t="str">
        <f aca="false">IF(H43&gt;=0,"Cash in","Cash out")</f>
        <v>Cash out</v>
      </c>
      <c r="J43" s="13" t="str">
        <f aca="false">IFERROR(INDEX(Categories!$B$5:$B$19,MATCH(1,INDEX(--ISNUMBER(SEARCH(Categories!$A$5:$A$19,UPPER($B43))),0),0)),IF(H43&gt;=0,"Uncategorised income","Uncategorised expense"))</f>
        <v>Managing agent fees</v>
      </c>
      <c r="K43" s="13" t="str">
        <f aca="false">TEXT(A43,"yyyy-mm")</f>
        <v>2026-03</v>
      </c>
    </row>
    <row r="44" customFormat="false" ht="15" hidden="false" customHeight="false" outlineLevel="0" collapsed="false">
      <c r="A44" s="15" t="n">
        <v>46113</v>
      </c>
      <c r="B44" s="16" t="s">
        <v>42</v>
      </c>
      <c r="C44" s="16" t="s">
        <v>43</v>
      </c>
      <c r="D44" s="16" t="s">
        <v>44</v>
      </c>
      <c r="E44" s="16" t="s">
        <v>95</v>
      </c>
      <c r="F44" s="17" t="n">
        <v>3300</v>
      </c>
      <c r="G44" s="17" t="n">
        <v>0</v>
      </c>
      <c r="H44" s="17" t="n">
        <f aca="false">F44-G44</f>
        <v>3300</v>
      </c>
      <c r="I44" s="16" t="str">
        <f aca="false">IF(H44&gt;=0,"Cash in","Cash out")</f>
        <v>Cash in</v>
      </c>
      <c r="J44" s="16" t="str">
        <f aca="false">IFERROR(INDEX(Categories!$B$5:$B$19,MATCH(1,INDEX(--ISNUMBER(SEARCH(Categories!$A$5:$A$19,UPPER($B44))),0),0)),IF(H44&gt;=0,"Uncategorised income","Uncategorised expense"))</f>
        <v>Rental income</v>
      </c>
      <c r="K44" s="16" t="str">
        <f aca="false">TEXT(A44,"yyyy-mm")</f>
        <v>2026-04</v>
      </c>
    </row>
    <row r="45" customFormat="false" ht="15" hidden="false" customHeight="false" outlineLevel="0" collapsed="false">
      <c r="A45" s="12" t="n">
        <v>46115</v>
      </c>
      <c r="B45" s="13" t="s">
        <v>46</v>
      </c>
      <c r="C45" s="13" t="s">
        <v>47</v>
      </c>
      <c r="D45" s="13" t="s">
        <v>44</v>
      </c>
      <c r="E45" s="13" t="s">
        <v>96</v>
      </c>
      <c r="F45" s="14" t="n">
        <v>0</v>
      </c>
      <c r="G45" s="14" t="n">
        <v>1450</v>
      </c>
      <c r="H45" s="14" t="n">
        <f aca="false">F45-G45</f>
        <v>-1450</v>
      </c>
      <c r="I45" s="13" t="str">
        <f aca="false">IF(H45&gt;=0,"Cash in","Cash out")</f>
        <v>Cash out</v>
      </c>
      <c r="J45" s="13" t="str">
        <f aca="false">IFERROR(INDEX(Categories!$B$5:$B$19,MATCH(1,INDEX(--ISNUMBER(SEARCH(Categories!$A$5:$A$19,UPPER($B45))),0),0)),IF(H45&gt;=0,"Uncategorised income","Uncategorised expense"))</f>
        <v>Mortgage interest</v>
      </c>
      <c r="K45" s="13" t="str">
        <f aca="false">TEXT(A45,"yyyy-mm")</f>
        <v>2026-04</v>
      </c>
    </row>
    <row r="46" customFormat="false" ht="15" hidden="false" customHeight="false" outlineLevel="0" collapsed="false">
      <c r="A46" s="15" t="n">
        <v>46117</v>
      </c>
      <c r="B46" s="16" t="s">
        <v>49</v>
      </c>
      <c r="C46" s="16" t="s">
        <v>50</v>
      </c>
      <c r="D46" s="16" t="s">
        <v>44</v>
      </c>
      <c r="E46" s="16" t="s">
        <v>97</v>
      </c>
      <c r="F46" s="17" t="n">
        <v>0</v>
      </c>
      <c r="G46" s="17" t="n">
        <v>264</v>
      </c>
      <c r="H46" s="17" t="n">
        <f aca="false">F46-G46</f>
        <v>-264</v>
      </c>
      <c r="I46" s="16" t="str">
        <f aca="false">IF(H46&gt;=0,"Cash in","Cash out")</f>
        <v>Cash out</v>
      </c>
      <c r="J46" s="16" t="str">
        <f aca="false">IFERROR(INDEX(Categories!$B$5:$B$19,MATCH(1,INDEX(--ISNUMBER(SEARCH(Categories!$A$5:$A$19,UPPER($B46))),0),0)),IF(H46&gt;=0,"Uncategorised income","Uncategorised expense"))</f>
        <v>Managing agent fees</v>
      </c>
      <c r="K46" s="16" t="str">
        <f aca="false">TEXT(A46,"yyyy-mm")</f>
        <v>2026-04</v>
      </c>
    </row>
    <row r="47" customFormat="false" ht="15" hidden="false" customHeight="false" outlineLevel="0" collapsed="false">
      <c r="A47" s="12" t="n">
        <v>46124</v>
      </c>
      <c r="B47" s="13" t="s">
        <v>98</v>
      </c>
      <c r="C47" s="13" t="s">
        <v>99</v>
      </c>
      <c r="D47" s="13" t="s">
        <v>44</v>
      </c>
      <c r="E47" s="13" t="s">
        <v>100</v>
      </c>
      <c r="F47" s="14" t="n">
        <v>0</v>
      </c>
      <c r="G47" s="14" t="n">
        <v>4800</v>
      </c>
      <c r="H47" s="14" t="n">
        <f aca="false">F47-G47</f>
        <v>-4800</v>
      </c>
      <c r="I47" s="13" t="str">
        <f aca="false">IF(H47&gt;=0,"Cash in","Cash out")</f>
        <v>Cash out</v>
      </c>
      <c r="J47" s="13" t="str">
        <f aca="false">IFERROR(INDEX(Categories!$B$5:$B$19,MATCH(1,INDEX(--ISNUMBER(SEARCH(Categories!$A$5:$A$19,UPPER($B47))),0),0)),IF(H47&gt;=0,"Uncategorised income","Uncategorised expense"))</f>
        <v>Repairs and maintenance</v>
      </c>
      <c r="K47" s="13" t="str">
        <f aca="false">TEXT(A47,"yyyy-mm")</f>
        <v>2026-04</v>
      </c>
    </row>
    <row r="48" customFormat="false" ht="15" hidden="false" customHeight="false" outlineLevel="0" collapsed="false">
      <c r="A48" s="15" t="n">
        <v>46132</v>
      </c>
      <c r="B48" s="16" t="s">
        <v>101</v>
      </c>
      <c r="C48" s="16" t="s">
        <v>43</v>
      </c>
      <c r="D48" s="16" t="s">
        <v>44</v>
      </c>
      <c r="E48" s="16" t="s">
        <v>102</v>
      </c>
      <c r="F48" s="17" t="n">
        <v>850</v>
      </c>
      <c r="G48" s="17" t="n">
        <v>0</v>
      </c>
      <c r="H48" s="17" t="n">
        <f aca="false">F48-G48</f>
        <v>850</v>
      </c>
      <c r="I48" s="16" t="str">
        <f aca="false">IF(H48&gt;=0,"Cash in","Cash out")</f>
        <v>Cash in</v>
      </c>
      <c r="J48" s="16" t="str">
        <f aca="false">IFERROR(INDEX(Categories!$B$5:$B$19,MATCH(1,INDEX(--ISNUMBER(SEARCH(Categories!$A$5:$A$19,UPPER($B48))),0),0)),IF(H48&gt;=0,"Uncategorised income","Uncategorised expense"))</f>
        <v>Service charge income</v>
      </c>
      <c r="K48" s="16" t="str">
        <f aca="false">TEXT(A48,"yyyy-mm")</f>
        <v>2026-04</v>
      </c>
    </row>
    <row r="49" customFormat="false" ht="15" hidden="false" customHeight="false" outlineLevel="0" collapsed="false">
      <c r="A49" s="12" t="n">
        <v>46147</v>
      </c>
      <c r="B49" s="13" t="s">
        <v>103</v>
      </c>
      <c r="C49" s="13" t="s">
        <v>104</v>
      </c>
      <c r="D49" s="13" t="s">
        <v>44</v>
      </c>
      <c r="E49" s="13" t="s">
        <v>105</v>
      </c>
      <c r="F49" s="14" t="n">
        <v>7500</v>
      </c>
      <c r="G49" s="14" t="n">
        <v>0</v>
      </c>
      <c r="H49" s="14" t="n">
        <f aca="false">F49-G49</f>
        <v>7500</v>
      </c>
      <c r="I49" s="13" t="str">
        <f aca="false">IF(H49&gt;=0,"Cash in","Cash out")</f>
        <v>Cash in</v>
      </c>
      <c r="J49" s="13" t="str">
        <f aca="false">IFERROR(INDEX(Categories!$B$5:$B$19,MATCH(1,INDEX(--ISNUMBER(SEARCH(Categories!$A$5:$A$19,UPPER($B49))),0),0)),IF(H49&gt;=0,"Uncategorised income","Uncategorised expense"))</f>
        <v>Uncategorised income</v>
      </c>
      <c r="K49" s="13" t="str">
        <f aca="false">TEXT(A49,"yyyy-mm")</f>
        <v>2026-05</v>
      </c>
    </row>
    <row r="50" customFormat="false" ht="15" hidden="false" customHeight="false" outlineLevel="0" collapsed="false">
      <c r="A50" s="15" t="n">
        <v>46149</v>
      </c>
      <c r="B50" s="16" t="s">
        <v>106</v>
      </c>
      <c r="C50" s="16" t="s">
        <v>107</v>
      </c>
      <c r="D50" s="16" t="s">
        <v>60</v>
      </c>
      <c r="E50" s="16" t="s">
        <v>108</v>
      </c>
      <c r="F50" s="17" t="n">
        <v>0</v>
      </c>
      <c r="G50" s="17" t="n">
        <v>3400</v>
      </c>
      <c r="H50" s="17" t="n">
        <f aca="false">F50-G50</f>
        <v>-3400</v>
      </c>
      <c r="I50" s="16" t="str">
        <f aca="false">IF(H50&gt;=0,"Cash in","Cash out")</f>
        <v>Cash out</v>
      </c>
      <c r="J50" s="16" t="str">
        <f aca="false">IFERROR(INDEX(Categories!$B$5:$B$19,MATCH(1,INDEX(--ISNUMBER(SEARCH(Categories!$A$5:$A$19,UPPER($B50))),0),0)),IF(H50&gt;=0,"Uncategorised income","Uncategorised expense"))</f>
        <v>Uncategorised expense</v>
      </c>
      <c r="K50" s="16" t="str">
        <f aca="false">TEXT(A50,"yyyy-mm")</f>
        <v>2026-05</v>
      </c>
    </row>
    <row r="51" customFormat="false" ht="15" hidden="false" customHeight="false" outlineLevel="0" collapsed="false">
      <c r="A51" s="18"/>
      <c r="B51" s="18"/>
      <c r="C51" s="18"/>
      <c r="D51" s="18"/>
      <c r="E51" s="19" t="s">
        <v>109</v>
      </c>
      <c r="F51" s="20" t="n">
        <f aca="false">SUM(F5:F50)</f>
        <v>50050</v>
      </c>
      <c r="G51" s="20" t="n">
        <f aca="false">SUM(G5:G50)</f>
        <v>42836</v>
      </c>
      <c r="H51" s="20" t="n">
        <f aca="false">SUM(H5:H50)</f>
        <v>7214</v>
      </c>
      <c r="I51" s="18"/>
      <c r="J51" s="18"/>
      <c r="K5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5"/>
    <col collapsed="false" customWidth="true" hidden="false" outlineLevel="0" max="5" min="5" style="0" width="16"/>
  </cols>
  <sheetData>
    <row r="1" customFormat="false" ht="21.75" hidden="false" customHeight="true" outlineLevel="0" collapsed="false">
      <c r="A1" s="1" t="s">
        <v>110</v>
      </c>
    </row>
    <row r="2" customFormat="false" ht="15" hidden="false" customHeight="false" outlineLevel="0" collapsed="false">
      <c r="A2" s="2" t="s">
        <v>111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 t="s">
        <v>41</v>
      </c>
      <c r="B4" s="3" t="s">
        <v>5</v>
      </c>
      <c r="C4" s="3" t="s">
        <v>7</v>
      </c>
      <c r="D4" s="3" t="s">
        <v>112</v>
      </c>
      <c r="E4" s="3" t="s">
        <v>113</v>
      </c>
    </row>
    <row r="5" customFormat="false" ht="15" hidden="false" customHeight="false" outlineLevel="0" collapsed="false">
      <c r="A5" s="13" t="s">
        <v>114</v>
      </c>
      <c r="B5" s="14" t="n">
        <f aca="false">SUMIFS(Transactions!$F$5:$F$50,Transactions!$K$5:$K$50,$A5)</f>
        <v>3200</v>
      </c>
      <c r="C5" s="14" t="n">
        <f aca="false">SUMIFS(Transactions!$G$5:$G$50,Transactions!$K$5:$K$50,$A5)</f>
        <v>1706</v>
      </c>
      <c r="D5" s="14" t="n">
        <f aca="false">B5-C5</f>
        <v>1494</v>
      </c>
      <c r="E5" s="14" t="n">
        <f aca="false">D5</f>
        <v>1494</v>
      </c>
    </row>
    <row r="6" customFormat="false" ht="15" hidden="false" customHeight="false" outlineLevel="0" collapsed="false">
      <c r="A6" s="16" t="s">
        <v>115</v>
      </c>
      <c r="B6" s="17" t="n">
        <f aca="false">SUMIFS(Transactions!$F$5:$F$50,Transactions!$K$5:$K$50,$A6)</f>
        <v>3200</v>
      </c>
      <c r="C6" s="17" t="n">
        <f aca="false">SUMIFS(Transactions!$G$5:$G$50,Transactions!$K$5:$K$50,$A6)</f>
        <v>1706</v>
      </c>
      <c r="D6" s="17" t="n">
        <f aca="false">B6-C6</f>
        <v>1494</v>
      </c>
      <c r="E6" s="17" t="n">
        <f aca="false">E5+D6</f>
        <v>2988</v>
      </c>
    </row>
    <row r="7" customFormat="false" ht="15" hidden="false" customHeight="false" outlineLevel="0" collapsed="false">
      <c r="A7" s="13" t="s">
        <v>116</v>
      </c>
      <c r="B7" s="14" t="n">
        <f aca="false">SUMIFS(Transactions!$F$5:$F$50,Transactions!$K$5:$K$50,$A7)</f>
        <v>3200</v>
      </c>
      <c r="C7" s="14" t="n">
        <f aca="false">SUMIFS(Transactions!$G$5:$G$50,Transactions!$K$5:$K$50,$A7)</f>
        <v>10806</v>
      </c>
      <c r="D7" s="14" t="n">
        <f aca="false">B7-C7</f>
        <v>-7606</v>
      </c>
      <c r="E7" s="14" t="n">
        <f aca="false">E6+D7</f>
        <v>-4618</v>
      </c>
    </row>
    <row r="8" customFormat="false" ht="15" hidden="false" customHeight="false" outlineLevel="0" collapsed="false">
      <c r="A8" s="16" t="s">
        <v>117</v>
      </c>
      <c r="B8" s="17" t="n">
        <f aca="false">SUMIFS(Transactions!$F$5:$F$50,Transactions!$K$5:$K$50,$A8)</f>
        <v>3200</v>
      </c>
      <c r="C8" s="17" t="n">
        <f aca="false">SUMIFS(Transactions!$G$5:$G$50,Transactions!$K$5:$K$50,$A8)</f>
        <v>2956</v>
      </c>
      <c r="D8" s="17" t="n">
        <f aca="false">B8-C8</f>
        <v>244</v>
      </c>
      <c r="E8" s="17" t="n">
        <f aca="false">E7+D8</f>
        <v>-4374</v>
      </c>
    </row>
    <row r="9" customFormat="false" ht="15" hidden="false" customHeight="false" outlineLevel="0" collapsed="false">
      <c r="A9" s="13" t="s">
        <v>118</v>
      </c>
      <c r="B9" s="14" t="n">
        <f aca="false">SUMIFS(Transactions!$F$5:$F$50,Transactions!$K$5:$K$50,$A9)</f>
        <v>3200</v>
      </c>
      <c r="C9" s="14" t="n">
        <f aca="false">SUMIFS(Transactions!$G$5:$G$50,Transactions!$K$5:$K$50,$A9)</f>
        <v>1706</v>
      </c>
      <c r="D9" s="14" t="n">
        <f aca="false">B9-C9</f>
        <v>1494</v>
      </c>
      <c r="E9" s="14" t="n">
        <f aca="false">E8+D9</f>
        <v>-2880</v>
      </c>
    </row>
    <row r="10" customFormat="false" ht="15" hidden="false" customHeight="false" outlineLevel="0" collapsed="false">
      <c r="A10" s="16" t="s">
        <v>119</v>
      </c>
      <c r="B10" s="17" t="n">
        <f aca="false">SUMIFS(Transactions!$F$5:$F$50,Transactions!$K$5:$K$50,$A10)</f>
        <v>3200</v>
      </c>
      <c r="C10" s="17" t="n">
        <f aca="false">SUMIFS(Transactions!$G$5:$G$50,Transactions!$K$5:$K$50,$A10)</f>
        <v>1706</v>
      </c>
      <c r="D10" s="17" t="n">
        <f aca="false">B10-C10</f>
        <v>1494</v>
      </c>
      <c r="E10" s="17" t="n">
        <f aca="false">E9+D10</f>
        <v>-1386</v>
      </c>
    </row>
    <row r="11" customFormat="false" ht="15" hidden="false" customHeight="false" outlineLevel="0" collapsed="false">
      <c r="A11" s="13" t="s">
        <v>120</v>
      </c>
      <c r="B11" s="14" t="n">
        <f aca="false">SUMIFS(Transactions!$F$5:$F$50,Transactions!$K$5:$K$50,$A11)</f>
        <v>3200</v>
      </c>
      <c r="C11" s="14" t="n">
        <f aca="false">SUMIFS(Transactions!$G$5:$G$50,Transactions!$K$5:$K$50,$A11)</f>
        <v>1706</v>
      </c>
      <c r="D11" s="14" t="n">
        <f aca="false">B11-C11</f>
        <v>1494</v>
      </c>
      <c r="E11" s="14" t="n">
        <f aca="false">E10+D11</f>
        <v>108</v>
      </c>
    </row>
    <row r="12" customFormat="false" ht="15" hidden="false" customHeight="false" outlineLevel="0" collapsed="false">
      <c r="A12" s="16" t="s">
        <v>121</v>
      </c>
      <c r="B12" s="17" t="n">
        <f aca="false">SUMIFS(Transactions!$F$5:$F$50,Transactions!$K$5:$K$50,$A12)</f>
        <v>3200</v>
      </c>
      <c r="C12" s="17" t="n">
        <f aca="false">SUMIFS(Transactions!$G$5:$G$50,Transactions!$K$5:$K$50,$A12)</f>
        <v>1706</v>
      </c>
      <c r="D12" s="17" t="n">
        <f aca="false">B12-C12</f>
        <v>1494</v>
      </c>
      <c r="E12" s="17" t="n">
        <f aca="false">E11+D12</f>
        <v>1602</v>
      </c>
    </row>
    <row r="13" customFormat="false" ht="15" hidden="false" customHeight="false" outlineLevel="0" collapsed="false">
      <c r="A13" s="13" t="s">
        <v>122</v>
      </c>
      <c r="B13" s="14" t="n">
        <f aca="false">SUMIFS(Transactions!$F$5:$F$50,Transactions!$K$5:$K$50,$A13)</f>
        <v>3200</v>
      </c>
      <c r="C13" s="14" t="n">
        <f aca="false">SUMIFS(Transactions!$G$5:$G$50,Transactions!$K$5:$K$50,$A13)</f>
        <v>1706</v>
      </c>
      <c r="D13" s="14" t="n">
        <f aca="false">B13-C13</f>
        <v>1494</v>
      </c>
      <c r="E13" s="14" t="n">
        <f aca="false">E12+D13</f>
        <v>3096</v>
      </c>
    </row>
    <row r="14" customFormat="false" ht="15" hidden="false" customHeight="false" outlineLevel="0" collapsed="false">
      <c r="A14" s="16" t="s">
        <v>123</v>
      </c>
      <c r="B14" s="17" t="n">
        <f aca="false">SUMIFS(Transactions!$F$5:$F$50,Transactions!$K$5:$K$50,$A14)</f>
        <v>3200</v>
      </c>
      <c r="C14" s="17" t="n">
        <f aca="false">SUMIFS(Transactions!$G$5:$G$50,Transactions!$K$5:$K$50,$A14)</f>
        <v>1706</v>
      </c>
      <c r="D14" s="17" t="n">
        <f aca="false">B14-C14</f>
        <v>1494</v>
      </c>
      <c r="E14" s="17" t="n">
        <f aca="false">E13+D14</f>
        <v>4590</v>
      </c>
    </row>
    <row r="15" customFormat="false" ht="15" hidden="false" customHeight="false" outlineLevel="0" collapsed="false">
      <c r="A15" s="13" t="s">
        <v>124</v>
      </c>
      <c r="B15" s="14" t="n">
        <f aca="false">SUMIFS(Transactions!$F$5:$F$50,Transactions!$K$5:$K$50,$A15)</f>
        <v>3200</v>
      </c>
      <c r="C15" s="14" t="n">
        <f aca="false">SUMIFS(Transactions!$G$5:$G$50,Transactions!$K$5:$K$50,$A15)</f>
        <v>3806</v>
      </c>
      <c r="D15" s="14" t="n">
        <f aca="false">B15-C15</f>
        <v>-606</v>
      </c>
      <c r="E15" s="14" t="n">
        <f aca="false">E14+D15</f>
        <v>3984</v>
      </c>
    </row>
    <row r="16" customFormat="false" ht="15" hidden="false" customHeight="false" outlineLevel="0" collapsed="false">
      <c r="A16" s="16" t="s">
        <v>125</v>
      </c>
      <c r="B16" s="17" t="n">
        <f aca="false">SUMIFS(Transactions!$F$5:$F$50,Transactions!$K$5:$K$50,$A16)</f>
        <v>3200</v>
      </c>
      <c r="C16" s="17" t="n">
        <f aca="false">SUMIFS(Transactions!$G$5:$G$50,Transactions!$K$5:$K$50,$A16)</f>
        <v>1706</v>
      </c>
      <c r="D16" s="17" t="n">
        <f aca="false">B16-C16</f>
        <v>1494</v>
      </c>
      <c r="E16" s="17" t="n">
        <f aca="false">E15+D16</f>
        <v>5478</v>
      </c>
    </row>
    <row r="17" customFormat="false" ht="15" hidden="false" customHeight="false" outlineLevel="0" collapsed="false">
      <c r="A17" s="13" t="s">
        <v>126</v>
      </c>
      <c r="B17" s="14" t="n">
        <f aca="false">SUMIFS(Transactions!$F$5:$F$50,Transactions!$K$5:$K$50,$A17)</f>
        <v>4150</v>
      </c>
      <c r="C17" s="14" t="n">
        <f aca="false">SUMIFS(Transactions!$G$5:$G$50,Transactions!$K$5:$K$50,$A17)</f>
        <v>6514</v>
      </c>
      <c r="D17" s="14" t="n">
        <f aca="false">B17-C17</f>
        <v>-2364</v>
      </c>
      <c r="E17" s="14" t="n">
        <f aca="false">E16+D17</f>
        <v>3114</v>
      </c>
    </row>
    <row r="18" customFormat="false" ht="15" hidden="false" customHeight="false" outlineLevel="0" collapsed="false">
      <c r="A18" s="16" t="s">
        <v>127</v>
      </c>
      <c r="B18" s="17" t="n">
        <f aca="false">SUMIFS(Transactions!$F$5:$F$50,Transactions!$K$5:$K$50,$A18)</f>
        <v>7500</v>
      </c>
      <c r="C18" s="17" t="n">
        <f aca="false">SUMIFS(Transactions!$G$5:$G$50,Transactions!$K$5:$K$50,$A18)</f>
        <v>3400</v>
      </c>
      <c r="D18" s="17" t="n">
        <f aca="false">B18-C18</f>
        <v>4100</v>
      </c>
      <c r="E18" s="17" t="n">
        <f aca="false">E17+D18</f>
        <v>7214</v>
      </c>
    </row>
    <row r="19" customFormat="false" ht="15" hidden="false" customHeight="false" outlineLevel="0" collapsed="false">
      <c r="A19" s="19" t="s">
        <v>109</v>
      </c>
      <c r="B19" s="20" t="n">
        <f aca="false">SUM(B5:B18)</f>
        <v>50050</v>
      </c>
      <c r="C19" s="20" t="n">
        <f aca="false">SUM(C5:C18)</f>
        <v>42836</v>
      </c>
      <c r="D19" s="20" t="n">
        <f aca="false">SUM(D5:D18)</f>
        <v>7214</v>
      </c>
      <c r="E19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6"/>
  </cols>
  <sheetData>
    <row r="1" customFormat="false" ht="21.75" hidden="false" customHeight="tru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/>
      <c r="B4" s="3" t="s">
        <v>13</v>
      </c>
      <c r="C4" s="3" t="s">
        <v>38</v>
      </c>
    </row>
    <row r="5" customFormat="false" ht="15" hidden="false" customHeight="false" outlineLevel="0" collapsed="false">
      <c r="A5" s="13" t="s">
        <v>130</v>
      </c>
      <c r="B5" s="13"/>
      <c r="C5" s="14"/>
    </row>
    <row r="6" customFormat="false" ht="15" hidden="false" customHeight="false" outlineLevel="0" collapsed="false">
      <c r="A6" s="13" t="s">
        <v>131</v>
      </c>
      <c r="B6" s="13" t="n">
        <f aca="false">COUNTIFS(Transactions!$J$5:$J$50,"Rental income")</f>
        <v>13</v>
      </c>
      <c r="C6" s="14" t="n">
        <f aca="false">SUMIFS(Transactions!$H$5:$H$50,Transactions!$J$5:$J$50,"Rental income")</f>
        <v>41700</v>
      </c>
    </row>
    <row r="7" customFormat="false" ht="15" hidden="false" customHeight="false" outlineLevel="0" collapsed="false">
      <c r="A7" s="13" t="s">
        <v>132</v>
      </c>
      <c r="B7" s="13" t="n">
        <f aca="false">COUNTIFS(Transactions!$J$5:$J$50,"Service charge income")</f>
        <v>1</v>
      </c>
      <c r="C7" s="14" t="n">
        <f aca="false">SUMIFS(Transactions!$H$5:$H$50,Transactions!$J$5:$J$50,"Service charge income")</f>
        <v>850</v>
      </c>
    </row>
    <row r="8" customFormat="false" ht="15" hidden="false" customHeight="false" outlineLevel="0" collapsed="false">
      <c r="A8" s="13" t="s">
        <v>133</v>
      </c>
      <c r="B8" s="13" t="n">
        <f aca="false">COUNTIFS(Transactions!$J$5:$J$50,"Uncategorised income")</f>
        <v>1</v>
      </c>
      <c r="C8" s="14" t="n">
        <f aca="false">SUMIFS(Transactions!$H$5:$H$50,Transactions!$J$5:$J$50,"Uncategorised income")</f>
        <v>7500</v>
      </c>
    </row>
    <row r="9" customFormat="false" ht="15" hidden="false" customHeight="false" outlineLevel="0" collapsed="false">
      <c r="A9" s="21" t="s">
        <v>134</v>
      </c>
      <c r="B9" s="21"/>
      <c r="C9" s="22" t="n">
        <f aca="false">SUM(C6:C8)</f>
        <v>50050</v>
      </c>
    </row>
    <row r="10" customFormat="false" ht="15" hidden="false" customHeight="false" outlineLevel="0" collapsed="false">
      <c r="A10" s="13"/>
      <c r="B10" s="13"/>
      <c r="C10" s="14"/>
    </row>
    <row r="11" customFormat="false" ht="15" hidden="false" customHeight="false" outlineLevel="0" collapsed="false">
      <c r="A11" s="13" t="s">
        <v>135</v>
      </c>
      <c r="B11" s="13"/>
      <c r="C11" s="14"/>
    </row>
    <row r="12" customFormat="false" ht="15" hidden="false" customHeight="false" outlineLevel="0" collapsed="false">
      <c r="A12" s="13" t="s">
        <v>136</v>
      </c>
      <c r="B12" s="13" t="n">
        <f aca="false">COUNTIFS(Transactions!$J$5:$J$50,"Mortgage interest")</f>
        <v>13</v>
      </c>
      <c r="C12" s="14" t="n">
        <f aca="false">SUMIFS(Transactions!$H$5:$H$50,Transactions!$J$5:$J$50,"Mortgage interest")</f>
        <v>-18850</v>
      </c>
    </row>
    <row r="13" customFormat="false" ht="15" hidden="false" customHeight="false" outlineLevel="0" collapsed="false">
      <c r="A13" s="13" t="s">
        <v>137</v>
      </c>
      <c r="B13" s="13" t="n">
        <f aca="false">COUNTIFS(Transactions!$J$5:$J$50,"Managing agent fees")</f>
        <v>13</v>
      </c>
      <c r="C13" s="14" t="n">
        <f aca="false">SUMIFS(Transactions!$H$5:$H$50,Transactions!$J$5:$J$50,"Managing agent fees")</f>
        <v>-3336</v>
      </c>
    </row>
    <row r="14" customFormat="false" ht="15" hidden="false" customHeight="false" outlineLevel="0" collapsed="false">
      <c r="A14" s="13" t="s">
        <v>138</v>
      </c>
      <c r="B14" s="13" t="n">
        <f aca="false">COUNTIFS(Transactions!$J$5:$J$50,"Directors remuneration")</f>
        <v>1</v>
      </c>
      <c r="C14" s="14" t="n">
        <f aca="false">SUMIFS(Transactions!$H$5:$H$50,Transactions!$J$5:$J$50,"Directors remuneration")</f>
        <v>-9100</v>
      </c>
    </row>
    <row r="15" customFormat="false" ht="15" hidden="false" customHeight="false" outlineLevel="0" collapsed="false">
      <c r="A15" s="13" t="s">
        <v>139</v>
      </c>
      <c r="B15" s="13" t="n">
        <f aca="false">COUNTIFS(Transactions!$J$5:$J$50,"Insurance")</f>
        <v>1</v>
      </c>
      <c r="C15" s="14" t="n">
        <f aca="false">SUMIFS(Transactions!$H$5:$H$50,Transactions!$J$5:$J$50,"Insurance")</f>
        <v>-1250</v>
      </c>
    </row>
    <row r="16" customFormat="false" ht="15" hidden="false" customHeight="false" outlineLevel="0" collapsed="false">
      <c r="A16" s="13" t="s">
        <v>140</v>
      </c>
      <c r="B16" s="13" t="n">
        <f aca="false">COUNTIFS(Transactions!$J$5:$J$50,"Professional fees")</f>
        <v>1</v>
      </c>
      <c r="C16" s="14" t="n">
        <f aca="false">SUMIFS(Transactions!$H$5:$H$50,Transactions!$J$5:$J$50,"Professional fees")</f>
        <v>-2100</v>
      </c>
    </row>
    <row r="17" customFormat="false" ht="15" hidden="false" customHeight="false" outlineLevel="0" collapsed="false">
      <c r="A17" s="13" t="s">
        <v>141</v>
      </c>
      <c r="B17" s="13" t="n">
        <f aca="false">COUNTIFS(Transactions!$J$5:$J$50,"Repairs and maintenance")</f>
        <v>1</v>
      </c>
      <c r="C17" s="14" t="n">
        <f aca="false">SUMIFS(Transactions!$H$5:$H$50,Transactions!$J$5:$J$50,"Repairs and maintenance")</f>
        <v>-4800</v>
      </c>
    </row>
    <row r="18" customFormat="false" ht="15" hidden="false" customHeight="false" outlineLevel="0" collapsed="false">
      <c r="A18" s="13" t="s">
        <v>142</v>
      </c>
      <c r="B18" s="13" t="n">
        <f aca="false">COUNTIFS(Transactions!$J$5:$J$50,"Uncategorised expense")</f>
        <v>1</v>
      </c>
      <c r="C18" s="14" t="n">
        <f aca="false">SUMIFS(Transactions!$H$5:$H$50,Transactions!$J$5:$J$50,"Uncategorised expense")</f>
        <v>-3400</v>
      </c>
    </row>
    <row r="19" customFormat="false" ht="15" hidden="false" customHeight="false" outlineLevel="0" collapsed="false">
      <c r="A19" s="21" t="s">
        <v>143</v>
      </c>
      <c r="B19" s="21"/>
      <c r="C19" s="22" t="n">
        <f aca="false">SUM(C12:C18)</f>
        <v>-42836</v>
      </c>
    </row>
    <row r="20" customFormat="false" ht="15" hidden="false" customHeight="false" outlineLevel="0" collapsed="false">
      <c r="A20" s="13"/>
      <c r="B20" s="13"/>
      <c r="C20" s="14"/>
    </row>
    <row r="21" customFormat="false" ht="15" hidden="false" customHeight="false" outlineLevel="0" collapsed="false">
      <c r="A21" s="23" t="s">
        <v>144</v>
      </c>
      <c r="B21" s="23"/>
      <c r="C21" s="24" t="n">
        <f aca="false">C9+C19</f>
        <v>7214</v>
      </c>
    </row>
    <row r="22" customFormat="false" ht="15" hidden="false" customHeight="false" outlineLevel="0" collapsed="false">
      <c r="A22" s="18"/>
      <c r="B22" s="18"/>
      <c r="C22" s="18"/>
    </row>
    <row r="24" customFormat="false" ht="15" hidden="false" customHeight="false" outlineLevel="0" collapsed="false">
      <c r="A24" s="25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5" min="3" style="0" width="15"/>
    <col collapsed="false" customWidth="true" hidden="false" outlineLevel="0" max="6" min="6" style="0" width="18"/>
  </cols>
  <sheetData>
    <row r="1" customFormat="false" ht="21.75" hidden="false" customHeight="tru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 t="s">
        <v>148</v>
      </c>
      <c r="B4" s="3" t="s">
        <v>13</v>
      </c>
      <c r="C4" s="3" t="s">
        <v>36</v>
      </c>
      <c r="D4" s="3" t="s">
        <v>37</v>
      </c>
      <c r="E4" s="3" t="s">
        <v>149</v>
      </c>
      <c r="F4" s="3" t="s">
        <v>150</v>
      </c>
    </row>
    <row r="5" customFormat="false" ht="15" hidden="false" customHeight="false" outlineLevel="0" collapsed="false">
      <c r="A5" s="13" t="s">
        <v>43</v>
      </c>
      <c r="B5" s="13" t="n">
        <f aca="false">COUNTIFS(Transactions!$C$5:$C$50,$A5)</f>
        <v>14</v>
      </c>
      <c r="C5" s="14" t="n">
        <f aca="false">SUMIFS(Transactions!$F$5:$F$50,Transactions!$C$5:$C$50,$A5)</f>
        <v>42550</v>
      </c>
      <c r="D5" s="14" t="n">
        <f aca="false">SUMIFS(Transactions!$G$5:$G$50,Transactions!$C$5:$C$50,$A5)</f>
        <v>0</v>
      </c>
      <c r="E5" s="14" t="n">
        <f aca="false">SUMIFS(Transactions!$H$5:$H$50,Transactions!$C$5:$C$50,$A5)</f>
        <v>42550</v>
      </c>
      <c r="F5" s="26" t="n">
        <f aca="false">IF(E5&gt;=0,C5/SUM(Transactions!$F$5:$F$50),D5/SUM(Transactions!$G$5:$G$50))</f>
        <v>0.85014985014985</v>
      </c>
    </row>
    <row r="6" customFormat="false" ht="15" hidden="false" customHeight="false" outlineLevel="0" collapsed="false">
      <c r="A6" s="16" t="s">
        <v>47</v>
      </c>
      <c r="B6" s="16" t="n">
        <f aca="false">COUNTIFS(Transactions!$C$5:$C$50,$A6)</f>
        <v>13</v>
      </c>
      <c r="C6" s="17" t="n">
        <f aca="false">SUMIFS(Transactions!$F$5:$F$50,Transactions!$C$5:$C$50,$A6)</f>
        <v>0</v>
      </c>
      <c r="D6" s="17" t="n">
        <f aca="false">SUMIFS(Transactions!$G$5:$G$50,Transactions!$C$5:$C$50,$A6)</f>
        <v>18850</v>
      </c>
      <c r="E6" s="17" t="n">
        <f aca="false">SUMIFS(Transactions!$H$5:$H$50,Transactions!$C$5:$C$50,$A6)</f>
        <v>-18850</v>
      </c>
      <c r="F6" s="27" t="n">
        <f aca="false">IF(E6&gt;=0,C6/SUM(Transactions!$F$5:$F$50),D6/SUM(Transactions!$G$5:$G$50))</f>
        <v>0.440050424876272</v>
      </c>
    </row>
    <row r="7" customFormat="false" ht="15" hidden="false" customHeight="false" outlineLevel="0" collapsed="false">
      <c r="A7" s="13" t="s">
        <v>59</v>
      </c>
      <c r="B7" s="13" t="n">
        <f aca="false">COUNTIFS(Transactions!$C$5:$C$50,$A7)</f>
        <v>1</v>
      </c>
      <c r="C7" s="14" t="n">
        <f aca="false">SUMIFS(Transactions!$F$5:$F$50,Transactions!$C$5:$C$50,$A7)</f>
        <v>0</v>
      </c>
      <c r="D7" s="14" t="n">
        <f aca="false">SUMIFS(Transactions!$G$5:$G$50,Transactions!$C$5:$C$50,$A7)</f>
        <v>9100</v>
      </c>
      <c r="E7" s="14" t="n">
        <f aca="false">SUMIFS(Transactions!$H$5:$H$50,Transactions!$C$5:$C$50,$A7)</f>
        <v>-9100</v>
      </c>
      <c r="F7" s="26" t="n">
        <f aca="false">IF(E7&gt;=0,C7/SUM(Transactions!$F$5:$F$50),D7/SUM(Transactions!$G$5:$G$50))</f>
        <v>0.212438136147166</v>
      </c>
    </row>
    <row r="8" customFormat="false" ht="15" hidden="false" customHeight="false" outlineLevel="0" collapsed="false">
      <c r="A8" s="16" t="s">
        <v>104</v>
      </c>
      <c r="B8" s="16" t="n">
        <f aca="false">COUNTIFS(Transactions!$C$5:$C$50,$A8)</f>
        <v>1</v>
      </c>
      <c r="C8" s="17" t="n">
        <f aca="false">SUMIFS(Transactions!$F$5:$F$50,Transactions!$C$5:$C$50,$A8)</f>
        <v>7500</v>
      </c>
      <c r="D8" s="17" t="n">
        <f aca="false">SUMIFS(Transactions!$G$5:$G$50,Transactions!$C$5:$C$50,$A8)</f>
        <v>0</v>
      </c>
      <c r="E8" s="17" t="n">
        <f aca="false">SUMIFS(Transactions!$H$5:$H$50,Transactions!$C$5:$C$50,$A8)</f>
        <v>7500</v>
      </c>
      <c r="F8" s="27" t="n">
        <f aca="false">IF(E8&gt;=0,C8/SUM(Transactions!$F$5:$F$50),D8/SUM(Transactions!$G$5:$G$50))</f>
        <v>0.14985014985015</v>
      </c>
    </row>
    <row r="9" customFormat="false" ht="15" hidden="false" customHeight="false" outlineLevel="0" collapsed="false">
      <c r="A9" s="13" t="s">
        <v>99</v>
      </c>
      <c r="B9" s="13" t="n">
        <f aca="false">COUNTIFS(Transactions!$C$5:$C$50,$A9)</f>
        <v>1</v>
      </c>
      <c r="C9" s="14" t="n">
        <f aca="false">SUMIFS(Transactions!$F$5:$F$50,Transactions!$C$5:$C$50,$A9)</f>
        <v>0</v>
      </c>
      <c r="D9" s="14" t="n">
        <f aca="false">SUMIFS(Transactions!$G$5:$G$50,Transactions!$C$5:$C$50,$A9)</f>
        <v>4800</v>
      </c>
      <c r="E9" s="14" t="n">
        <f aca="false">SUMIFS(Transactions!$H$5:$H$50,Transactions!$C$5:$C$50,$A9)</f>
        <v>-4800</v>
      </c>
      <c r="F9" s="26" t="n">
        <f aca="false">IF(E9&gt;=0,C9/SUM(Transactions!$F$5:$F$50),D9/SUM(Transactions!$G$5:$G$50))</f>
        <v>0.112055280605099</v>
      </c>
    </row>
    <row r="10" customFormat="false" ht="15" hidden="false" customHeight="false" outlineLevel="0" collapsed="false">
      <c r="A10" s="16" t="s">
        <v>107</v>
      </c>
      <c r="B10" s="16" t="n">
        <f aca="false">COUNTIFS(Transactions!$C$5:$C$50,$A10)</f>
        <v>1</v>
      </c>
      <c r="C10" s="17" t="n">
        <f aca="false">SUMIFS(Transactions!$F$5:$F$50,Transactions!$C$5:$C$50,$A10)</f>
        <v>0</v>
      </c>
      <c r="D10" s="17" t="n">
        <f aca="false">SUMIFS(Transactions!$G$5:$G$50,Transactions!$C$5:$C$50,$A10)</f>
        <v>3400</v>
      </c>
      <c r="E10" s="17" t="n">
        <f aca="false">SUMIFS(Transactions!$H$5:$H$50,Transactions!$C$5:$C$50,$A10)</f>
        <v>-3400</v>
      </c>
      <c r="F10" s="27" t="n">
        <f aca="false">IF(E10&gt;=0,C10/SUM(Transactions!$F$5:$F$50),D10/SUM(Transactions!$G$5:$G$50))</f>
        <v>0.0793724904286114</v>
      </c>
    </row>
    <row r="11" customFormat="false" ht="15" hidden="false" customHeight="false" outlineLevel="0" collapsed="false">
      <c r="A11" s="13" t="s">
        <v>50</v>
      </c>
      <c r="B11" s="13" t="n">
        <f aca="false">COUNTIFS(Transactions!$C$5:$C$50,$A11)</f>
        <v>13</v>
      </c>
      <c r="C11" s="14" t="n">
        <f aca="false">SUMIFS(Transactions!$F$5:$F$50,Transactions!$C$5:$C$50,$A11)</f>
        <v>0</v>
      </c>
      <c r="D11" s="14" t="n">
        <f aca="false">SUMIFS(Transactions!$G$5:$G$50,Transactions!$C$5:$C$50,$A11)</f>
        <v>3336</v>
      </c>
      <c r="E11" s="14" t="n">
        <f aca="false">SUMIFS(Transactions!$H$5:$H$50,Transactions!$C$5:$C$50,$A11)</f>
        <v>-3336</v>
      </c>
      <c r="F11" s="26" t="n">
        <f aca="false">IF(E11&gt;=0,C11/SUM(Transactions!$F$5:$F$50),D11/SUM(Transactions!$G$5:$G$50))</f>
        <v>0.0778784200205435</v>
      </c>
    </row>
    <row r="12" customFormat="false" ht="15" hidden="false" customHeight="false" outlineLevel="0" collapsed="false">
      <c r="A12" s="16" t="s">
        <v>90</v>
      </c>
      <c r="B12" s="16" t="n">
        <f aca="false">COUNTIFS(Transactions!$C$5:$C$50,$A12)</f>
        <v>1</v>
      </c>
      <c r="C12" s="17" t="n">
        <f aca="false">SUMIFS(Transactions!$F$5:$F$50,Transactions!$C$5:$C$50,$A12)</f>
        <v>0</v>
      </c>
      <c r="D12" s="17" t="n">
        <f aca="false">SUMIFS(Transactions!$G$5:$G$50,Transactions!$C$5:$C$50,$A12)</f>
        <v>2100</v>
      </c>
      <c r="E12" s="17" t="n">
        <f aca="false">SUMIFS(Transactions!$H$5:$H$50,Transactions!$C$5:$C$50,$A12)</f>
        <v>-2100</v>
      </c>
      <c r="F12" s="27" t="n">
        <f aca="false">IF(E12&gt;=0,C12/SUM(Transactions!$F$5:$F$50),D12/SUM(Transactions!$G$5:$G$50))</f>
        <v>0.0490241852647306</v>
      </c>
    </row>
    <row r="13" customFormat="false" ht="15" hidden="false" customHeight="false" outlineLevel="0" collapsed="false">
      <c r="A13" s="13" t="s">
        <v>66</v>
      </c>
      <c r="B13" s="13" t="n">
        <f aca="false">COUNTIFS(Transactions!$C$5:$C$50,$A13)</f>
        <v>1</v>
      </c>
      <c r="C13" s="14" t="n">
        <f aca="false">SUMIFS(Transactions!$F$5:$F$50,Transactions!$C$5:$C$50,$A13)</f>
        <v>0</v>
      </c>
      <c r="D13" s="14" t="n">
        <f aca="false">SUMIFS(Transactions!$G$5:$G$50,Transactions!$C$5:$C$50,$A13)</f>
        <v>1250</v>
      </c>
      <c r="E13" s="14" t="n">
        <f aca="false">SUMIFS(Transactions!$H$5:$H$50,Transactions!$C$5:$C$50,$A13)</f>
        <v>-1250</v>
      </c>
      <c r="F13" s="26" t="n">
        <f aca="false">IF(E13&gt;=0,C13/SUM(Transactions!$F$5:$F$50),D13/SUM(Transactions!$G$5:$G$50))</f>
        <v>0.0291810626575777</v>
      </c>
    </row>
    <row r="14" customFormat="false" ht="15" hidden="false" customHeight="false" outlineLevel="0" collapsed="false">
      <c r="A14" s="19" t="s">
        <v>109</v>
      </c>
      <c r="B14" s="19" t="n">
        <f aca="false">SUM(B5:B13)</f>
        <v>46</v>
      </c>
      <c r="C14" s="20" t="n">
        <f aca="false">SUM(C5:C13)</f>
        <v>50050</v>
      </c>
      <c r="D14" s="20" t="n">
        <f aca="false">SUM(D5:D13)</f>
        <v>42836</v>
      </c>
      <c r="E14" s="20" t="n">
        <f aca="false">SUM(E5:E13)</f>
        <v>7214</v>
      </c>
      <c r="F14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6"/>
    <col collapsed="false" customWidth="true" hidden="false" outlineLevel="0" max="3" min="3" style="0" width="12"/>
  </cols>
  <sheetData>
    <row r="1" customFormat="false" ht="21.75" hidden="false" customHeight="true" outlineLevel="0" collapsed="false">
      <c r="A1" s="1" t="s">
        <v>151</v>
      </c>
    </row>
    <row r="2" customFormat="false" ht="15" hidden="false" customHeight="false" outlineLevel="0" collapsed="false">
      <c r="A2" s="2" t="s">
        <v>152</v>
      </c>
    </row>
    <row r="3" customFormat="false" ht="6" hidden="false" customHeight="true" outlineLevel="0" collapsed="false"/>
    <row r="4" customFormat="false" ht="25.5" hidden="false" customHeight="true" outlineLevel="0" collapsed="false">
      <c r="A4" s="3" t="s">
        <v>153</v>
      </c>
      <c r="B4" s="3" t="s">
        <v>40</v>
      </c>
      <c r="C4" s="3" t="s">
        <v>154</v>
      </c>
    </row>
    <row r="5" customFormat="false" ht="15" hidden="false" customHeight="false" outlineLevel="0" collapsed="false">
      <c r="A5" s="28" t="s">
        <v>155</v>
      </c>
      <c r="B5" s="28" t="s">
        <v>156</v>
      </c>
      <c r="C5" s="28" t="s">
        <v>157</v>
      </c>
    </row>
    <row r="6" customFormat="false" ht="15" hidden="false" customHeight="false" outlineLevel="0" collapsed="false">
      <c r="A6" s="28" t="s">
        <v>158</v>
      </c>
      <c r="B6" s="28" t="s">
        <v>159</v>
      </c>
      <c r="C6" s="28" t="s">
        <v>157</v>
      </c>
    </row>
    <row r="7" customFormat="false" ht="15" hidden="false" customHeight="false" outlineLevel="0" collapsed="false">
      <c r="A7" s="28" t="s">
        <v>160</v>
      </c>
      <c r="B7" s="28" t="s">
        <v>161</v>
      </c>
      <c r="C7" s="28" t="s">
        <v>162</v>
      </c>
    </row>
    <row r="8" customFormat="false" ht="15" hidden="false" customHeight="false" outlineLevel="0" collapsed="false">
      <c r="A8" s="28" t="s">
        <v>163</v>
      </c>
      <c r="B8" s="28" t="s">
        <v>161</v>
      </c>
      <c r="C8" s="28" t="s">
        <v>162</v>
      </c>
    </row>
    <row r="9" customFormat="false" ht="15" hidden="false" customHeight="false" outlineLevel="0" collapsed="false">
      <c r="A9" s="28" t="s">
        <v>164</v>
      </c>
      <c r="B9" s="28" t="s">
        <v>165</v>
      </c>
      <c r="C9" s="28" t="s">
        <v>162</v>
      </c>
    </row>
    <row r="10" customFormat="false" ht="15" hidden="false" customHeight="false" outlineLevel="0" collapsed="false">
      <c r="A10" s="28" t="s">
        <v>166</v>
      </c>
      <c r="B10" s="28" t="s">
        <v>165</v>
      </c>
      <c r="C10" s="28" t="s">
        <v>162</v>
      </c>
    </row>
    <row r="11" customFormat="false" ht="15" hidden="false" customHeight="false" outlineLevel="0" collapsed="false">
      <c r="A11" s="28" t="s">
        <v>167</v>
      </c>
      <c r="B11" s="28" t="s">
        <v>168</v>
      </c>
      <c r="C11" s="28" t="s">
        <v>162</v>
      </c>
    </row>
    <row r="12" customFormat="false" ht="15" hidden="false" customHeight="false" outlineLevel="0" collapsed="false">
      <c r="A12" s="28" t="s">
        <v>169</v>
      </c>
      <c r="B12" s="28" t="s">
        <v>170</v>
      </c>
      <c r="C12" s="28" t="s">
        <v>162</v>
      </c>
    </row>
    <row r="13" customFormat="false" ht="15" hidden="false" customHeight="false" outlineLevel="0" collapsed="false">
      <c r="A13" s="28" t="s">
        <v>171</v>
      </c>
      <c r="B13" s="28" t="s">
        <v>170</v>
      </c>
      <c r="C13" s="28" t="s">
        <v>162</v>
      </c>
    </row>
    <row r="14" customFormat="false" ht="15" hidden="false" customHeight="false" outlineLevel="0" collapsed="false">
      <c r="A14" s="28" t="s">
        <v>172</v>
      </c>
      <c r="B14" s="28" t="s">
        <v>170</v>
      </c>
      <c r="C14" s="28" t="s">
        <v>162</v>
      </c>
    </row>
    <row r="15" customFormat="false" ht="15" hidden="false" customHeight="false" outlineLevel="0" collapsed="false">
      <c r="A15" s="28" t="s">
        <v>173</v>
      </c>
      <c r="B15" s="28" t="s">
        <v>174</v>
      </c>
      <c r="C15" s="28" t="s">
        <v>162</v>
      </c>
    </row>
    <row r="16" customFormat="false" ht="15" hidden="false" customHeight="false" outlineLevel="0" collapsed="false">
      <c r="A16" s="28" t="s">
        <v>175</v>
      </c>
      <c r="B16" s="28" t="s">
        <v>174</v>
      </c>
      <c r="C16" s="28" t="s">
        <v>162</v>
      </c>
    </row>
    <row r="17" customFormat="false" ht="15" hidden="false" customHeight="false" outlineLevel="0" collapsed="false">
      <c r="A17" s="28" t="s">
        <v>176</v>
      </c>
      <c r="B17" s="28" t="s">
        <v>174</v>
      </c>
      <c r="C17" s="28" t="s">
        <v>162</v>
      </c>
    </row>
    <row r="18" customFormat="false" ht="15" hidden="false" customHeight="false" outlineLevel="0" collapsed="false">
      <c r="A18" s="28" t="s">
        <v>177</v>
      </c>
      <c r="B18" s="28" t="s">
        <v>178</v>
      </c>
      <c r="C18" s="28" t="s">
        <v>162</v>
      </c>
    </row>
    <row r="19" customFormat="false" ht="15" hidden="false" customHeight="false" outlineLevel="0" collapsed="false">
      <c r="A19" s="28" t="s">
        <v>179</v>
      </c>
      <c r="B19" s="28" t="s">
        <v>178</v>
      </c>
      <c r="C19" s="28" t="s">
        <v>162</v>
      </c>
    </row>
    <row r="21" customFormat="false" ht="15" hidden="false" customHeight="false" outlineLevel="0" collapsed="false">
      <c r="A21" s="25" t="s">
        <v>180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2026-08-25T13:39:06Z</dcterms:created>
  <dc:creator>openpyxl</dc:creator>
  <dc:description/>
  <dc:language>en-US</dc:language>
  <cp:lastModifiedBy/>
  <dcterms:modified xsi:type="dcterms:W3CDTF">2026-08-25T13:39:06Z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